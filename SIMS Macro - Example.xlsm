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rewt\Downloads\"/>
    </mc:Choice>
  </mc:AlternateContent>
  <xr:revisionPtr revIDLastSave="0" documentId="13_ncr:1_{D292AB3C-1232-4C3F-950E-2E15453FE5F9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Instructions" sheetId="428" r:id="rId1"/>
    <sheet name="Counseling &amp;etc Claims - Rows" sheetId="2" r:id="rId2"/>
    <sheet name="Pivot" sheetId="10" r:id="rId3"/>
    <sheet name="Email" sheetId="402" r:id="rId4"/>
  </sheets>
  <definedNames>
    <definedName name="_xlnm._FilterDatabase" localSheetId="1" hidden="1">'Counseling &amp;etc Claims - Rows'!$A$1:$K$1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02" l="1"/>
  <c r="C4" i="402"/>
  <c r="C5" i="402"/>
  <c r="C6" i="402"/>
  <c r="C7" i="402"/>
  <c r="C8" i="402"/>
  <c r="C9" i="402"/>
  <c r="C10" i="402"/>
  <c r="C11" i="402"/>
  <c r="C12" i="402"/>
  <c r="C13" i="402"/>
  <c r="C14" i="402"/>
  <c r="C15" i="402"/>
  <c r="C16" i="402"/>
  <c r="C17" i="402"/>
  <c r="C18" i="402"/>
  <c r="C19" i="402"/>
  <c r="C20" i="402"/>
  <c r="C21" i="402"/>
  <c r="C22" i="402"/>
  <c r="C23" i="402"/>
  <c r="C24" i="402"/>
  <c r="C25" i="402"/>
  <c r="C26" i="402"/>
  <c r="C27" i="402"/>
  <c r="C28" i="402"/>
  <c r="C29" i="402"/>
  <c r="C30" i="402"/>
  <c r="C31" i="402"/>
  <c r="C32" i="402"/>
  <c r="C33" i="402"/>
  <c r="C34" i="402"/>
  <c r="C35" i="402"/>
  <c r="C36" i="402"/>
  <c r="C37" i="402"/>
  <c r="C38" i="402"/>
  <c r="C39" i="402"/>
  <c r="C40" i="402"/>
  <c r="C41" i="402"/>
  <c r="C42" i="402"/>
  <c r="C43" i="402"/>
  <c r="C44" i="402"/>
  <c r="C45" i="402"/>
  <c r="C46" i="402"/>
  <c r="C47" i="402"/>
  <c r="C48" i="402"/>
  <c r="C49" i="402"/>
  <c r="C50" i="402"/>
  <c r="C51" i="402"/>
  <c r="C52" i="402"/>
  <c r="C53" i="402"/>
  <c r="C54" i="402"/>
  <c r="C55" i="402"/>
  <c r="C56" i="402"/>
  <c r="C57" i="402"/>
  <c r="C58" i="402"/>
  <c r="C59" i="402"/>
  <c r="C60" i="402"/>
  <c r="C61" i="402"/>
  <c r="C62" i="402"/>
  <c r="C63" i="402"/>
  <c r="C64" i="402"/>
  <c r="C65" i="402"/>
  <c r="C66" i="402"/>
  <c r="C67" i="402"/>
  <c r="C68" i="402"/>
  <c r="C69" i="402"/>
  <c r="C70" i="402"/>
  <c r="C71" i="402"/>
  <c r="C72" i="402"/>
  <c r="C73" i="402"/>
  <c r="C74" i="402"/>
  <c r="C75" i="402"/>
  <c r="C76" i="402"/>
  <c r="C77" i="402"/>
  <c r="C78" i="402"/>
  <c r="C79" i="402"/>
  <c r="C80" i="402"/>
  <c r="C81" i="402"/>
  <c r="C82" i="402"/>
  <c r="C83" i="402"/>
  <c r="C84" i="402"/>
  <c r="C85" i="402"/>
  <c r="C86" i="402"/>
  <c r="C87" i="402"/>
  <c r="C88" i="402"/>
  <c r="C89" i="402"/>
  <c r="C90" i="402"/>
  <c r="C91" i="402"/>
  <c r="C92" i="402"/>
  <c r="C93" i="402"/>
  <c r="C94" i="402"/>
  <c r="C95" i="402"/>
  <c r="C96" i="402"/>
  <c r="C97" i="402"/>
  <c r="C98" i="402"/>
  <c r="C99" i="402"/>
  <c r="C100" i="402"/>
  <c r="C101" i="402"/>
  <c r="C102" i="402"/>
  <c r="C103" i="402"/>
  <c r="C104" i="402"/>
  <c r="C105" i="402"/>
  <c r="C106" i="402"/>
  <c r="C107" i="402"/>
  <c r="C108" i="402"/>
  <c r="C109" i="402"/>
  <c r="C110" i="402"/>
  <c r="C111" i="402"/>
  <c r="C112" i="402"/>
  <c r="C113" i="402"/>
  <c r="C114" i="402"/>
  <c r="C115" i="402"/>
  <c r="C116" i="402"/>
  <c r="C117" i="402"/>
  <c r="C118" i="402"/>
  <c r="C2" i="402"/>
</calcChain>
</file>

<file path=xl/sharedStrings.xml><?xml version="1.0" encoding="utf-8"?>
<sst xmlns="http://schemas.openxmlformats.org/spreadsheetml/2006/main" count="458" uniqueCount="193">
  <si>
    <t>Totals</t>
  </si>
  <si>
    <t>-</t>
  </si>
  <si>
    <t>D.O.S.</t>
  </si>
  <si>
    <t>ID #</t>
  </si>
  <si>
    <t>Last</t>
  </si>
  <si>
    <t>Service Provider</t>
  </si>
  <si>
    <t>Co-Pay</t>
  </si>
  <si>
    <t>SIMS</t>
  </si>
  <si>
    <t>1st</t>
  </si>
  <si>
    <t>Total</t>
  </si>
  <si>
    <t>Approved?</t>
  </si>
  <si>
    <t>Submitted</t>
  </si>
  <si>
    <t>Mary Combs</t>
  </si>
  <si>
    <t xml:space="preserve"> </t>
  </si>
  <si>
    <t>No</t>
  </si>
  <si>
    <t>08/07/2023</t>
  </si>
  <si>
    <t>Ananda Moss-Byas</t>
  </si>
  <si>
    <t>10/31/2023</t>
  </si>
  <si>
    <t>10/16/2023</t>
  </si>
  <si>
    <t>Yes</t>
  </si>
  <si>
    <t>08/21/2023</t>
  </si>
  <si>
    <t>Rosa T. Yaotonalcuauhtli</t>
  </si>
  <si>
    <t>09/04/2023</t>
  </si>
  <si>
    <t>Deanna Miesch</t>
  </si>
  <si>
    <t>10/12/2023</t>
  </si>
  <si>
    <t>Rebecca Kalomiris</t>
  </si>
  <si>
    <t>10/26/2023</t>
  </si>
  <si>
    <t>Jill Adams</t>
  </si>
  <si>
    <t>10/30/2023</t>
  </si>
  <si>
    <t>Monica Garfias</t>
  </si>
  <si>
    <t>10/02/2023</t>
  </si>
  <si>
    <t>Kelli Hansen</t>
  </si>
  <si>
    <t>10/11/2023</t>
  </si>
  <si>
    <t>Chance Ramirez</t>
  </si>
  <si>
    <t>Nicole Brogdon</t>
  </si>
  <si>
    <t>10/01/2023</t>
  </si>
  <si>
    <t>Gabrielle Zandan</t>
  </si>
  <si>
    <t>Gianna Viola</t>
  </si>
  <si>
    <t>Elizaveta Potapenko</t>
  </si>
  <si>
    <t>Kirk VanLaningham</t>
  </si>
  <si>
    <t>10/03/2023</t>
  </si>
  <si>
    <t>09/18/2023</t>
  </si>
  <si>
    <t>Rebecca Kanady Huston</t>
  </si>
  <si>
    <t>10/04/2023</t>
  </si>
  <si>
    <t>Laura Brudowsky</t>
  </si>
  <si>
    <t>10/17/2023</t>
  </si>
  <si>
    <t>Julia Fazio</t>
  </si>
  <si>
    <t>Claudine Lucena</t>
  </si>
  <si>
    <t>Melissa Wilson</t>
  </si>
  <si>
    <t>Chatone Strickland</t>
  </si>
  <si>
    <t>09/26/2023</t>
  </si>
  <si>
    <t>Adam Collie Eccleston</t>
  </si>
  <si>
    <t>Peyton English</t>
  </si>
  <si>
    <t>Maxey J. Elliott</t>
  </si>
  <si>
    <t>10/10/2023</t>
  </si>
  <si>
    <t>Leslie Tourish</t>
  </si>
  <si>
    <t>Marissa Sanchez</t>
  </si>
  <si>
    <t>Yamel Sandoval Quijano</t>
  </si>
  <si>
    <t>10/24/2023</t>
  </si>
  <si>
    <t>CARMAhealth PLLC</t>
  </si>
  <si>
    <t>Christopher J. Cisneros</t>
  </si>
  <si>
    <t>Tom Umberger</t>
  </si>
  <si>
    <t>Jennifer Biddle</t>
  </si>
  <si>
    <t>Don Jones</t>
  </si>
  <si>
    <t>Lynn Zipoy</t>
  </si>
  <si>
    <t>Darcy Scott</t>
  </si>
  <si>
    <t>Brendan Owens</t>
  </si>
  <si>
    <t>Destany Schadder</t>
  </si>
  <si>
    <t>Jean Ann Cordes Therapy</t>
  </si>
  <si>
    <t>Martha Pulkingham</t>
  </si>
  <si>
    <t>Karen Finley Breeding</t>
  </si>
  <si>
    <t>Blair Rhodes</t>
  </si>
  <si>
    <t>Marvin Hughes</t>
  </si>
  <si>
    <t>10/05/2023</t>
  </si>
  <si>
    <t>Tracey McCullick</t>
  </si>
  <si>
    <t>Alison Green</t>
  </si>
  <si>
    <t>Kate Sheddan</t>
  </si>
  <si>
    <t>Sarah Francis</t>
  </si>
  <si>
    <t>Chrysalis Psychotherapy</t>
  </si>
  <si>
    <t>Susanna Wetherington</t>
  </si>
  <si>
    <t>Kelly Gadbury</t>
  </si>
  <si>
    <t>Jasmine Espinoza</t>
  </si>
  <si>
    <t>Joann Martilloti-Cartwright</t>
  </si>
  <si>
    <t>Christie Wilke</t>
  </si>
  <si>
    <t>Peter Stuart</t>
  </si>
  <si>
    <t>Suzanne Camos</t>
  </si>
  <si>
    <t>Brad Colbert</t>
  </si>
  <si>
    <t>David Braham</t>
  </si>
  <si>
    <t>Catherine Cogburn</t>
  </si>
  <si>
    <t>Krystal Felan</t>
  </si>
  <si>
    <t>Anita Jung</t>
  </si>
  <si>
    <t>Denisa Washington</t>
  </si>
  <si>
    <t>David Fornos</t>
  </si>
  <si>
    <t>Mary Firme</t>
  </si>
  <si>
    <t>Lisa Thaler</t>
  </si>
  <si>
    <t>LaDetra Woodson</t>
  </si>
  <si>
    <t>Frederic Wilson</t>
  </si>
  <si>
    <t>Dianne Fish</t>
  </si>
  <si>
    <t>J. Jade Adair</t>
  </si>
  <si>
    <t>Deann Acton</t>
  </si>
  <si>
    <t>James Maxwell</t>
  </si>
  <si>
    <t>Heather Nirenberg McKillip</t>
  </si>
  <si>
    <t>Lee Ann Cameron</t>
  </si>
  <si>
    <t>Kendall Campbell</t>
  </si>
  <si>
    <t>Delaney Menell</t>
  </si>
  <si>
    <t>Patty Evers</t>
  </si>
  <si>
    <t>Anne Korinek</t>
  </si>
  <si>
    <t>10/06/2023</t>
  </si>
  <si>
    <t>Chris Farrell</t>
  </si>
  <si>
    <t>Anna Eastman</t>
  </si>
  <si>
    <t>Dan Stober</t>
  </si>
  <si>
    <t>Jennifer Frazier</t>
  </si>
  <si>
    <t>Bonnie Madison</t>
  </si>
  <si>
    <t>Kimberly May</t>
  </si>
  <si>
    <t>Tressie Seegers</t>
  </si>
  <si>
    <t>Michael D. Romero, Tonality Counseling, PLLC</t>
  </si>
  <si>
    <t>Alexandria Hays</t>
  </si>
  <si>
    <t>Kery Rowden</t>
  </si>
  <si>
    <t>Meghan Burgess</t>
  </si>
  <si>
    <t>Elizabeth Dossman</t>
  </si>
  <si>
    <t>Cassandra Gonzalez</t>
  </si>
  <si>
    <t>Brandie Cole</t>
  </si>
  <si>
    <t>Lisa Arronge</t>
  </si>
  <si>
    <t>Michelle Vavich</t>
  </si>
  <si>
    <t>Catalina Roads</t>
  </si>
  <si>
    <t>Ilicia Balaban</t>
  </si>
  <si>
    <t>Shawna Williams</t>
  </si>
  <si>
    <t>Leigh Tenhet</t>
  </si>
  <si>
    <t>Michelle Kelley Shuler</t>
  </si>
  <si>
    <t>10/19/2023</t>
  </si>
  <si>
    <t>Alicia Pace</t>
  </si>
  <si>
    <t>Fabianna L Laby</t>
  </si>
  <si>
    <t>Vickie Schafer</t>
  </si>
  <si>
    <t>Leslie Larson</t>
  </si>
  <si>
    <t>Comfort Care and Counseling, PLLC</t>
  </si>
  <si>
    <t>Daniel Escobar</t>
  </si>
  <si>
    <t>Eboni Hamilton</t>
  </si>
  <si>
    <t>Shelly Hogan</t>
  </si>
  <si>
    <t>Hector Del Toro</t>
  </si>
  <si>
    <t>Dixon J. Parnell</t>
  </si>
  <si>
    <t>10/18/2023</t>
  </si>
  <si>
    <t>Lindy Noll</t>
  </si>
  <si>
    <t>Benjamin Adam Johnson</t>
  </si>
  <si>
    <t>10/25/2023</t>
  </si>
  <si>
    <t>Madeleine Azar</t>
  </si>
  <si>
    <t>Cynthia Netting</t>
  </si>
  <si>
    <t>Merri Isom</t>
  </si>
  <si>
    <t>Edward Dreslinski</t>
  </si>
  <si>
    <t>Mandi Roarke</t>
  </si>
  <si>
    <t>Mark Odhner</t>
  </si>
  <si>
    <t>Lisa Terrazas</t>
  </si>
  <si>
    <t>Sarah A White</t>
  </si>
  <si>
    <t>Tiffany Allen</t>
  </si>
  <si>
    <t>10/27/2023</t>
  </si>
  <si>
    <t>Ruben J. Garcia</t>
  </si>
  <si>
    <t>Frances Shelby</t>
  </si>
  <si>
    <t>Sum of Co-Pay</t>
  </si>
  <si>
    <t>Sum of SIMS</t>
  </si>
  <si>
    <t>Sum of 1st</t>
  </si>
  <si>
    <t>Sum of Total</t>
  </si>
  <si>
    <t>Lei</t>
  </si>
  <si>
    <t>Edw</t>
  </si>
  <si>
    <t>Was</t>
  </si>
  <si>
    <t>Cas</t>
  </si>
  <si>
    <t>Sto</t>
  </si>
  <si>
    <t>McL</t>
  </si>
  <si>
    <t>Bar</t>
  </si>
  <si>
    <t>Saw</t>
  </si>
  <si>
    <t>Gan</t>
  </si>
  <si>
    <t>Bus</t>
  </si>
  <si>
    <t>Dre</t>
  </si>
  <si>
    <t>Mos</t>
  </si>
  <si>
    <t>Bla</t>
  </si>
  <si>
    <t>Ten</t>
  </si>
  <si>
    <t>Tor</t>
  </si>
  <si>
    <t>Dan</t>
  </si>
  <si>
    <t>Pru</t>
  </si>
  <si>
    <t>Email</t>
  </si>
  <si>
    <t>File Path</t>
  </si>
  <si>
    <t>Daniel</t>
  </si>
  <si>
    <t>Prudhomme</t>
  </si>
  <si>
    <t>McLeod</t>
  </si>
  <si>
    <t>Alison Green Sum</t>
  </si>
  <si>
    <t>1. Download Apricot raw data file</t>
  </si>
  <si>
    <t>2. Paste Apricot raw data file into 'Counseling &amp;etc Claims - Rows' tab</t>
  </si>
  <si>
    <t>3. Refresh Pivot Table</t>
  </si>
  <si>
    <t>4. Push button to create files and send emails</t>
  </si>
  <si>
    <t>4. Ensure Emails and File Paths are updated in 'Email' tab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</si>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</sst>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;@"/>
    <numFmt numFmtId="165" formatCode="&quot;$&quot;#,##0.00"/>
  </numFmts>
  <fonts count="7" x14ac:knownFonts="1">
    <font>
      <sz val="11"/>
      <color rgb="FF000000"/>
      <name val="Calibri"/>
    </font>
    <font>
      <b/>
      <sz val="11"/>
      <color rgb="FF000000"/>
      <name val="Calibri"/>
    </font>
    <font>
      <sz val="11"/>
      <color rgb="FF000000"/>
      <name val="Calibri"/>
      <family val="2"/>
    </font>
    <font>
      <sz val="11"/>
      <color rgb="FF000000"/>
      <name val="Calibri"/>
    </font>
    <font>
      <sz val="8"/>
      <name val="Calibri"/>
    </font>
    <font>
      <u/>
      <sz val="11"/>
      <color theme="10"/>
      <name val="Calibri"/>
    </font>
    <font>
      <sz val="10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</borders>
  <cellStyleXfs count="3">
    <xf numFmtId="0" fontId="0" fillId="0" borderId="0"/>
    <xf numFmtId="0" fontId="3" fillId="0" borderId="0"/>
    <xf numFmtId="0" fontId="5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1" xfId="0" applyFont="1" applyBorder="1"/>
    <xf numFmtId="49" fontId="0" fillId="0" borderId="0" xfId="0" applyNumberFormat="1"/>
    <xf numFmtId="164" fontId="0" fillId="0" borderId="0" xfId="0" applyNumberFormat="1"/>
    <xf numFmtId="165" fontId="1" fillId="0" borderId="1" xfId="0" applyNumberFormat="1" applyFont="1" applyBorder="1"/>
    <xf numFmtId="165" fontId="0" fillId="0" borderId="0" xfId="0" applyNumberFormat="1"/>
    <xf numFmtId="0" fontId="2" fillId="0" borderId="0" xfId="0" applyFont="1"/>
    <xf numFmtId="0" fontId="0" fillId="0" borderId="2" xfId="0" applyBorder="1"/>
    <xf numFmtId="0" fontId="0" fillId="0" borderId="2" xfId="0" pivotButton="1" applyBorder="1"/>
    <xf numFmtId="0" fontId="0" fillId="0" borderId="3" xfId="0" applyBorder="1"/>
    <xf numFmtId="0" fontId="0" fillId="0" borderId="4" xfId="0" applyBorder="1"/>
    <xf numFmtId="49" fontId="0" fillId="0" borderId="2" xfId="0" applyNumberFormat="1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5" fillId="0" borderId="0" xfId="2"/>
    <xf numFmtId="0" fontId="0" fillId="0" borderId="7" xfId="0" applyBorder="1"/>
    <xf numFmtId="0" fontId="0" fillId="0" borderId="8" xfId="0" applyBorder="1"/>
    <xf numFmtId="49" fontId="2" fillId="0" borderId="0" xfId="0" applyNumberFormat="1" applyFont="1"/>
  </cellXfs>
  <cellStyles count="3">
    <cellStyle name="Hyperlink" xfId="2" builtinId="8"/>
    <cellStyle name="Normal" xfId="0" builtinId="0"/>
    <cellStyle name="Normal 2" xfId="1" xr:uid="{4A1AA996-DAE7-4FDE-ABFD-8FA68F95C294}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45720</xdr:rowOff>
        </xdr:from>
        <xdr:to>
          <xdr:col>6</xdr:col>
          <xdr:colOff>571500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Files and Send Emails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ve Markel" refreshedDate="45275.47590532407" createdVersion="8" refreshedVersion="8" minRefreshableVersion="3" recordCount="894" xr:uid="{5176005C-24DA-40F9-A744-06AD0DC5D3C5}">
  <cacheSource type="worksheet">
    <worksheetSource ref="A1:K45" sheet="Counseling &amp;etc Claims - Rows"/>
  </cacheSource>
  <cacheFields count="13">
    <cacheField name="D.O.S." numFmtId="164">
      <sharedItems count="61">
        <s v="08/02/2023"/>
        <s v="08/07/2023"/>
        <s v="08/09/2023"/>
        <s v="08/16/2023"/>
        <s v="08/21/2023"/>
        <s v="08/22/2023"/>
        <s v="08/24/2023"/>
        <s v="08/29/2023"/>
        <s v="08/30/2023"/>
        <s v="09/04/2023"/>
        <s v="09/05/2023"/>
        <s v="09/06/2023"/>
        <s v="09/07/2023"/>
        <s v="09/08/2023"/>
        <s v="09/11/2023"/>
        <s v="09/12/2023"/>
        <s v="09/13/2023"/>
        <s v="09/14/2023"/>
        <s v="09/15/2023"/>
        <s v="09/18/2023"/>
        <s v="09/19/2023"/>
        <s v="09/20/2023"/>
        <s v="09/21/2023"/>
        <s v="09/23/2023"/>
        <s v="09/25/2023"/>
        <s v="09/26/2023"/>
        <s v="09/27/2023"/>
        <s v="09/28/2023"/>
        <s v="09/29/2023"/>
        <s v="09/30/2023"/>
        <s v="10/01/2023"/>
        <s v="10/02/2023"/>
        <s v="10/03/2023"/>
        <s v="10/04/2023"/>
        <s v="10/05/2023"/>
        <s v="10/06/2023"/>
        <s v="10/07/2023"/>
        <s v="10/08/2023"/>
        <s v="10/09/2023"/>
        <s v="10/10/2023"/>
        <s v="10/11/2023"/>
        <s v="10/12/2023"/>
        <s v="10/13/2023"/>
        <s v="10/14/2023"/>
        <s v="10/15/2023"/>
        <s v="10/16/2023"/>
        <s v="10/17/2023"/>
        <s v="10/18/2023"/>
        <s v="10/19/2023"/>
        <s v="10/20/2023"/>
        <s v="10/21/2023"/>
        <s v="10/22/2023"/>
        <s v="10/23/2023"/>
        <s v="10/24/2023"/>
        <s v="10/25/2023"/>
        <s v="10/26/2023"/>
        <s v="10/27/2023"/>
        <s v="10/28/2023"/>
        <s v="10/29/2023"/>
        <s v="10/30/2023"/>
        <s v="10/31/2023"/>
      </sharedItems>
    </cacheField>
    <cacheField name="ID #" numFmtId="49">
      <sharedItems containsSemiMixedTypes="0" containsString="0" containsNumber="1" containsInteger="1" minValue="383486" maxValue="879787" count="399">
        <n v="384001"/>
        <n v="385623"/>
        <n v="384504"/>
        <n v="385209"/>
        <n v="383611"/>
        <n v="384664"/>
        <n v="684537"/>
        <n v="383593"/>
        <n v="385366"/>
        <n v="386055"/>
        <n v="386297"/>
        <n v="631460"/>
        <n v="726996"/>
        <n v="385091"/>
        <n v="694486"/>
        <n v="702092"/>
        <n v="720542"/>
        <n v="803980"/>
        <n v="818896"/>
        <n v="385017"/>
        <n v="385414"/>
        <n v="663365"/>
        <n v="809984"/>
        <n v="385998"/>
        <n v="747341"/>
        <n v="845478"/>
        <n v="385866"/>
        <n v="386387"/>
        <n v="784146"/>
        <n v="383986"/>
        <n v="384566"/>
        <n v="385309"/>
        <n v="663419"/>
        <n v="761980"/>
        <n v="834173"/>
        <n v="383652"/>
        <n v="383890"/>
        <n v="384782"/>
        <n v="384935"/>
        <n v="385198"/>
        <n v="693630"/>
        <n v="745711"/>
        <n v="799382"/>
        <n v="385228"/>
        <n v="386275"/>
        <n v="693589"/>
        <n v="835931"/>
        <n v="385533"/>
        <n v="593280"/>
        <n v="640469"/>
        <n v="693248"/>
        <n v="853261"/>
        <n v="384507"/>
        <n v="679323"/>
        <n v="384007"/>
        <n v="385434"/>
        <n v="769952"/>
        <n v="385231"/>
        <n v="639245"/>
        <n v="648905"/>
        <n v="661697"/>
        <n v="670447"/>
        <n v="814203"/>
        <n v="383750"/>
        <n v="385449"/>
        <n v="385595"/>
        <n v="806853"/>
        <n v="841181"/>
        <n v="845302"/>
        <n v="701648"/>
        <n v="386174"/>
        <n v="386176"/>
        <n v="675875"/>
        <n v="752573"/>
        <n v="753366"/>
        <n v="777205"/>
        <n v="807813"/>
        <n v="877062"/>
        <n v="383964"/>
        <n v="384321"/>
        <n v="384815"/>
        <n v="385001"/>
        <n v="385792"/>
        <n v="385995"/>
        <n v="386024"/>
        <n v="386291"/>
        <n v="645228"/>
        <n v="674114"/>
        <n v="690919"/>
        <n v="698303"/>
        <n v="722408"/>
        <n v="722824"/>
        <n v="740286"/>
        <n v="741728"/>
        <n v="784950"/>
        <n v="799214"/>
        <n v="802856"/>
        <n v="845627"/>
        <n v="856761"/>
        <n v="865975"/>
        <n v="874047"/>
        <n v="383751"/>
        <n v="384244"/>
        <n v="384388"/>
        <n v="384520"/>
        <n v="384576"/>
        <n v="384653"/>
        <n v="385395"/>
        <n v="385496"/>
        <n v="385577"/>
        <n v="385698"/>
        <n v="385746"/>
        <n v="385785"/>
        <n v="385942"/>
        <n v="386159"/>
        <n v="642641"/>
        <n v="654377"/>
        <n v="674124"/>
        <n v="683826"/>
        <n v="705231"/>
        <n v="734747"/>
        <n v="752812"/>
        <n v="754811"/>
        <n v="771719"/>
        <n v="777203"/>
        <n v="791160"/>
        <n v="816038"/>
        <n v="835715"/>
        <n v="844470"/>
        <n v="845640"/>
        <n v="852131"/>
        <n v="852803"/>
        <n v="853251"/>
        <n v="383565"/>
        <n v="383619"/>
        <n v="383678"/>
        <n v="383766"/>
        <n v="383794"/>
        <n v="383843"/>
        <n v="385025"/>
        <n v="385289"/>
        <n v="385357"/>
        <n v="385462"/>
        <n v="385521"/>
        <n v="385572"/>
        <n v="385647"/>
        <n v="385734"/>
        <n v="385852"/>
        <n v="385906"/>
        <n v="385944"/>
        <n v="386009"/>
        <n v="386030"/>
        <n v="386268"/>
        <n v="386277"/>
        <n v="641605"/>
        <n v="642389"/>
        <n v="652844"/>
        <n v="698585"/>
        <n v="750003"/>
        <n v="762061"/>
        <n v="786918"/>
        <n v="795050"/>
        <n v="795261"/>
        <n v="800738"/>
        <n v="812781"/>
        <n v="822753"/>
        <n v="824855"/>
        <n v="827236"/>
        <n v="828360"/>
        <n v="828711"/>
        <n v="855734"/>
        <n v="855850"/>
        <n v="859812"/>
        <n v="383507"/>
        <n v="383730"/>
        <n v="383776"/>
        <n v="383834"/>
        <n v="384273"/>
        <n v="384462"/>
        <n v="384549"/>
        <n v="384616"/>
        <n v="385223"/>
        <n v="385256"/>
        <n v="385687"/>
        <n v="386210"/>
        <n v="593283"/>
        <n v="630574"/>
        <n v="644358"/>
        <n v="644399"/>
        <n v="664872"/>
        <n v="666377"/>
        <n v="670802"/>
        <n v="695555"/>
        <n v="704838"/>
        <n v="725907"/>
        <n v="730130"/>
        <n v="748438"/>
        <n v="751786"/>
        <n v="756533"/>
        <n v="759996"/>
        <n v="768060"/>
        <n v="782692"/>
        <n v="789344"/>
        <n v="816261"/>
        <n v="832744"/>
        <n v="836747"/>
        <n v="843845"/>
        <n v="848656"/>
        <n v="383486"/>
        <n v="383917"/>
        <n v="384433"/>
        <n v="385187"/>
        <n v="386329"/>
        <n v="386379"/>
        <n v="644175"/>
        <n v="645249"/>
        <n v="658530"/>
        <n v="670807"/>
        <n v="879787"/>
        <n v="757070"/>
        <n v="385676"/>
        <n v="383782"/>
        <n v="383913"/>
        <n v="384326"/>
        <n v="385370"/>
        <n v="385441"/>
        <n v="385511"/>
        <n v="385769"/>
        <n v="633133"/>
        <n v="636966"/>
        <n v="683888"/>
        <n v="759620"/>
        <n v="786613"/>
        <n v="789336"/>
        <n v="802640"/>
        <n v="837367"/>
        <n v="844194"/>
        <n v="844979"/>
        <n v="383715"/>
        <n v="384095"/>
        <n v="384361"/>
        <n v="384568"/>
        <n v="385280"/>
        <n v="385539"/>
        <n v="385555"/>
        <n v="385745"/>
        <n v="385815"/>
        <n v="385916"/>
        <n v="386137"/>
        <n v="587982"/>
        <n v="593641"/>
        <n v="632016"/>
        <n v="633126"/>
        <n v="633138"/>
        <n v="641925"/>
        <n v="648524"/>
        <n v="654943"/>
        <n v="680382"/>
        <n v="685384"/>
        <n v="687460"/>
        <n v="691241"/>
        <n v="711535"/>
        <n v="717300"/>
        <n v="726822"/>
        <n v="727499"/>
        <n v="734983"/>
        <n v="745442"/>
        <n v="772082"/>
        <n v="778435"/>
        <n v="823778"/>
        <n v="843249"/>
        <n v="851028"/>
        <n v="852957"/>
        <n v="861380"/>
        <n v="384154"/>
        <n v="384184"/>
        <n v="384271"/>
        <n v="384569"/>
        <n v="384785"/>
        <n v="385282"/>
        <n v="385373"/>
        <n v="385671"/>
        <n v="636738"/>
        <n v="648220"/>
        <n v="661353"/>
        <n v="677834"/>
        <n v="681898"/>
        <n v="693581"/>
        <n v="712136"/>
        <n v="714643"/>
        <n v="730207"/>
        <n v="759090"/>
        <n v="759329"/>
        <n v="787665"/>
        <n v="820605"/>
        <n v="870092"/>
        <n v="874217"/>
        <n v="383657"/>
        <n v="383977"/>
        <n v="384812"/>
        <n v="385614"/>
        <n v="385662"/>
        <n v="385963"/>
        <n v="385982"/>
        <n v="386075"/>
        <n v="386194"/>
        <n v="386364"/>
        <n v="642647"/>
        <n v="651436"/>
        <n v="668706"/>
        <n v="693863"/>
        <n v="724291"/>
        <n v="726962"/>
        <n v="738050"/>
        <n v="740302"/>
        <n v="751492"/>
        <n v="781511"/>
        <n v="782930"/>
        <n v="800733"/>
        <n v="817085"/>
        <n v="876851"/>
        <n v="383801"/>
        <n v="384041"/>
        <n v="385151"/>
        <n v="385544"/>
        <n v="675515"/>
        <n v="736157"/>
        <n v="835933"/>
        <n v="680716"/>
        <n v="804880"/>
        <n v="821947"/>
        <n v="384739"/>
        <n v="385323"/>
        <n v="385655"/>
        <n v="645967"/>
        <n v="657008"/>
        <n v="666382"/>
        <n v="684559"/>
        <n v="806848"/>
        <n v="635941"/>
        <n v="641911"/>
        <n v="685398"/>
        <n v="695380"/>
        <n v="701901"/>
        <n v="384256"/>
        <n v="386076"/>
        <n v="386368"/>
        <n v="654646"/>
        <n v="682044"/>
        <n v="740322"/>
        <n v="763412"/>
        <n v="794349"/>
        <n v="384278"/>
        <n v="385123"/>
        <n v="645225"/>
        <n v="652857"/>
        <n v="733039"/>
        <n v="804889"/>
        <n v="836744"/>
        <n v="853496"/>
        <n v="384201"/>
        <n v="384394"/>
        <n v="386449"/>
        <n v="639522"/>
        <n v="817087"/>
        <n v="824330"/>
        <n v="839370"/>
        <n v="386365"/>
        <n v="385458"/>
        <n v="385753"/>
        <n v="729763"/>
        <n v="383934"/>
        <n v="385783"/>
        <n v="386438"/>
        <n v="675336"/>
        <n v="740325"/>
        <n v="821092"/>
        <n v="385054"/>
        <n v="385503"/>
        <n v="639241"/>
        <n v="667050"/>
        <n v="678238"/>
        <n v="695397"/>
        <n v="754511"/>
        <n v="760650"/>
        <n v="761951"/>
        <n v="383714"/>
        <n v="640458"/>
        <n v="650476"/>
        <n v="673479"/>
        <n v="869433"/>
        <n v="384671"/>
        <n v="385404"/>
        <n v="658013"/>
        <n v="384308"/>
        <n v="668325"/>
        <n v="682546"/>
        <n v="384098"/>
        <n v="870386"/>
      </sharedItems>
    </cacheField>
    <cacheField name="Last" numFmtId="49">
      <sharedItems count="368">
        <s v="Richards"/>
        <s v="Rosch"/>
        <s v="Leigh"/>
        <s v="Edward"/>
        <s v="Dziewanna"/>
        <s v="Wellwarth"/>
        <s v="Arvizu"/>
        <s v="Hickey"/>
        <s v="Margolis"/>
        <s v="Hargis"/>
        <s v="Moen"/>
        <s v="Zapfe"/>
        <s v="Kirby"/>
        <s v="Biller"/>
        <s v="Wright"/>
        <s v="Sekons"/>
        <s v="Johnson"/>
        <s v="Gassen"/>
        <s v="Ross"/>
        <s v="Pearson"/>
        <s v="Niebuhr"/>
        <s v="Soto"/>
        <s v="Chrisman"/>
        <s v="Allen"/>
        <s v="Bloom"/>
        <s v="Guthrie"/>
        <s v="Chavez"/>
        <s v="Myers"/>
        <s v="McKelvey"/>
        <s v="Hillen"/>
        <s v="Hart"/>
        <s v="Verrill"/>
        <s v="Friedman"/>
        <s v="Gassaway"/>
        <s v="Crow"/>
        <s v="Schneider"/>
        <s v="Salazar"/>
        <s v="Moore"/>
        <s v="Ridenour"/>
        <s v="Schultz"/>
        <s v="Mascardo"/>
        <s v="Melendez"/>
        <s v="Warner"/>
        <s v="Sollock"/>
        <s v="Washburn"/>
        <s v="Coughlan"/>
        <s v="Wilson"/>
        <s v="Klein"/>
        <s v="Beggins"/>
        <s v="Thornton"/>
        <s v="Lucarelli"/>
        <s v="McPhail"/>
        <s v="Millanta"/>
        <s v="Starr"/>
        <s v="Lopez"/>
        <s v="Casey"/>
        <s v="Stout"/>
        <s v="Snyder"/>
        <s v="Hamman"/>
        <s v="Ludwick"/>
        <s v="Hanlon"/>
        <s v="Ames"/>
        <s v="Cicero"/>
        <s v="Pedraza"/>
        <s v="Gayton"/>
        <s v="Allyn"/>
        <s v="Privott"/>
        <s v="Fuller"/>
        <s v="Metzger"/>
        <s v="Swayze"/>
        <s v="Fix"/>
        <s v="Harpin"/>
        <s v="O'Keefe"/>
        <s v="Fremerman"/>
        <s v="Scott"/>
        <s v="Matteson"/>
        <s v="Loe"/>
        <s v="Ryan"/>
        <s v="Pierce"/>
        <s v="Boyd"/>
        <s v="Roye"/>
        <s v="Merino"/>
        <s v="Minda"/>
        <s v="Kemble"/>
        <s v="Powell"/>
        <s v="Veillon"/>
        <s v="Fears"/>
        <s v="Jollay"/>
        <s v="McLeod"/>
        <s v="Fortney"/>
        <s v="Harrod"/>
        <s v="Bessette"/>
        <s v="Giard"/>
        <s v="Scherger"/>
        <s v="Roff-Garcia"/>
        <s v="Noel"/>
        <s v="Velasco"/>
        <s v="Hurless"/>
        <s v="Baptiste"/>
        <s v="Bazzrea"/>
        <s v="Kerrigan"/>
        <s v="Basez"/>
        <s v="Himmler"/>
        <s v="MacDougall"/>
        <s v="Bergeon"/>
        <s v="Gutierrez"/>
        <s v="Arduini"/>
        <s v="Hardin"/>
        <s v="Haac"/>
        <s v="Connelly"/>
        <s v="Custer"/>
        <s v="Castillo III"/>
        <s v="Burgess"/>
        <s v="Ivey"/>
        <s v="Berry"/>
        <s v="Evans"/>
        <s v="Felker"/>
        <s v="Lambert"/>
        <s v="Lazarte"/>
        <s v="Joachim"/>
        <s v="Adamo"/>
        <s v="Patrevito"/>
        <s v="Monroe"/>
        <s v="Barbee"/>
        <s v="Hoag"/>
        <s v="Sanchez"/>
        <s v="Methvin"/>
        <s v="Vermooten"/>
        <s v="Kowald"/>
        <s v="Berlin"/>
        <s v="Westbrook"/>
        <s v="Livingston"/>
        <s v="Temple"/>
        <s v="Lobas"/>
        <s v="Thomson"/>
        <s v="Sisson"/>
        <s v="Hill"/>
        <s v="Hubbard"/>
        <s v="Alba"/>
        <s v="Fischer"/>
        <s v="Ghelichkhani"/>
        <s v="Buhay"/>
        <s v="Fulton"/>
        <s v="Sellers"/>
        <s v="DeChausse"/>
        <s v="Dahdah"/>
        <s v="Edwards"/>
        <s v="Proctor"/>
        <s v="Fancher"/>
        <s v="Holland"/>
        <s v="Williams"/>
        <s v="Buchta"/>
        <s v="Valles"/>
        <s v="Brady"/>
        <s v="Gracey"/>
        <s v="Roy"/>
        <s v="Sawyer"/>
        <s v="Wiggs"/>
        <s v="Freid"/>
        <s v="De La Luz"/>
        <s v="Young"/>
        <s v="Ganem"/>
        <s v="Alchamaa"/>
        <s v="Dulang"/>
        <s v="Godles"/>
        <s v="Corsetti"/>
        <s v="Spafford"/>
        <s v="Nesbitt"/>
        <s v="Whitmore"/>
        <s v="Scartocci"/>
        <s v="Nichols"/>
        <s v="Meyer"/>
        <s v="Pennock"/>
        <s v="Miguel"/>
        <s v="Levesque"/>
        <s v="Gould"/>
        <s v="Laningham"/>
        <s v="Fitch"/>
        <s v="Harris"/>
        <s v="Wolff"/>
        <s v="Galvan"/>
        <s v="Ribner"/>
        <s v="McKoy"/>
        <s v="Washington"/>
        <s v="Nissen"/>
        <s v="Herrera"/>
        <s v="Creamer"/>
        <s v="Ranson"/>
        <s v="McDowell"/>
        <s v="Carlton"/>
        <s v="Buse"/>
        <s v="Crowley"/>
        <s v="Hafner"/>
        <s v="Hildebrand"/>
        <s v="Brown"/>
        <s v="Strickland"/>
        <s v="Stansell"/>
        <s v="Matthews"/>
        <s v="Foley"/>
        <s v="Dembe"/>
        <s v="Shankman"/>
        <s v="Krohn"/>
        <s v="McGuire"/>
        <s v="Rowland"/>
        <s v="Hall"/>
        <s v="McClellan"/>
        <s v="Newcomb"/>
        <s v="Wolfe"/>
        <s v="sexton"/>
        <s v="Layne"/>
        <s v="Abdo"/>
        <s v="Corl"/>
        <s v="Seymour"/>
        <s v="Minter Jr."/>
        <s v="Whitaker"/>
        <s v="Turk"/>
        <s v="Seidel"/>
        <s v="Smith"/>
        <s v="Villarreal"/>
        <s v="Fry"/>
        <s v="Finlay Welch"/>
        <s v="Sklar"/>
        <s v="Coffman"/>
        <s v="Hearne"/>
        <s v="Volpi"/>
        <s v="Caughey"/>
        <s v="Monical"/>
        <s v="Connor"/>
        <s v="Antinelli"/>
        <s v="Barentine"/>
        <s v="O'Neal"/>
        <s v="Palmer"/>
        <s v="Kingcaid"/>
        <s v="Drew"/>
        <s v="Spencer"/>
        <s v="Bechtol"/>
        <s v="McKann"/>
        <s v="Fitzpatrick-Munyon"/>
        <s v="Brush"/>
        <s v="Mondini"/>
        <s v="Spruiell"/>
        <s v="Houser"/>
        <s v="Barakat"/>
        <s v="Feldkamp"/>
        <s v="Butts"/>
        <s v="Saxon"/>
        <s v="Stearns"/>
        <s v="Benenate"/>
        <s v="Moss"/>
        <s v="Watson"/>
        <s v="Parseghian"/>
        <s v="Howden"/>
        <s v="Lance"/>
        <s v="Blaylock"/>
        <s v="Moon"/>
        <s v="Dalton"/>
        <s v="Smedley"/>
        <s v="Goebel"/>
        <s v="Hoff"/>
        <s v="Schmidt"/>
        <s v="Buchanan"/>
        <s v="Parrott"/>
        <s v="Gauna"/>
        <s v="Exner"/>
        <s v="Zoe"/>
        <s v="Spigarelli"/>
        <s v="Reynolds"/>
        <s v="Sterneman"/>
        <s v="Hutchins"/>
        <s v="Shanafelt"/>
        <s v="Balch"/>
        <s v="Keller"/>
        <s v="Graham"/>
        <s v="Harber"/>
        <s v="Farrell"/>
        <s v="Gibson"/>
        <s v="Granados"/>
        <s v="Gage"/>
        <s v="McMahan"/>
        <s v="Tenberg"/>
        <s v="Murdock"/>
        <s v="Harrell"/>
        <s v="Reid"/>
        <s v="Riesner-Temple"/>
        <s v="Isais"/>
        <s v="Sambol"/>
        <s v="Mehrman"/>
        <s v="Marsh"/>
        <s v="Lively"/>
        <s v="Wheeler"/>
        <s v="Thelen"/>
        <s v="Garber"/>
        <s v="Gordon"/>
        <s v="Mason"/>
        <s v="Fletcher"/>
        <s v="Montgomery"/>
        <s v="Mitzkat"/>
        <s v="Brandon"/>
        <s v="Darnell"/>
        <s v="Violet"/>
        <s v="Black"/>
        <s v="Jones"/>
        <s v="Howell"/>
        <s v="Primeau"/>
        <s v="Motenko"/>
        <s v="Cotton"/>
        <s v="Hungerford"/>
        <s v="Manyin"/>
        <s v="Dixon"/>
        <s v="Pena"/>
        <s v="Shidler"/>
        <s v="Ivison"/>
        <s v="Harr"/>
        <s v="Burgin"/>
        <s v="Phillips"/>
        <s v="Ramirez"/>
        <s v="Mack"/>
        <s v="Carter"/>
        <s v="Polson"/>
        <s v="Hankamer"/>
        <s v="Torres"/>
        <s v="Lemos"/>
        <s v="Seltzer"/>
        <s v="Ziolkowski"/>
        <s v="Radford"/>
        <s v="Ramos"/>
        <s v="Rienecker"/>
        <s v="Doche"/>
        <s v="McGowan"/>
        <s v="Wines"/>
        <s v="Radin"/>
        <s v="Scheibel"/>
        <s v="Cowan"/>
        <s v="Clark"/>
        <s v="Grossman"/>
        <s v="Hawkins"/>
        <s v="Bell"/>
        <s v="Traeger"/>
        <s v="Corcoran"/>
        <s v="Casper"/>
        <s v="Stephenson"/>
        <s v="Widhalm"/>
        <s v="Herzfeld"/>
        <s v="Rios"/>
        <s v="Salls"/>
        <s v="Deemer"/>
        <s v="Barrett"/>
        <s v="Ordonez"/>
        <s v="Leveton"/>
        <s v="Howard"/>
        <s v="Neel"/>
        <s v="Bradshaw"/>
        <s v="Savage"/>
        <s v="Whitworth"/>
        <s v="Rose"/>
        <s v="Blanton"/>
        <s v="Daniel"/>
        <s v="Mann"/>
        <s v="Potter"/>
        <s v="Sapunor"/>
        <s v="Reichelt"/>
        <s v="Bodi"/>
        <s v="Prudhomme"/>
        <s v="Mittenthal"/>
        <s v="Brickley"/>
        <s v="Rogers"/>
        <s v="Hancock"/>
        <s v="Cashell"/>
      </sharedItems>
    </cacheField>
    <cacheField name="Service Provider" numFmtId="49">
      <sharedItems count="117">
        <s v="Mary Combs"/>
        <s v="Ananda Moss-Byas"/>
        <s v="Rosa T. Yaotonalcuauhtli"/>
        <s v="Deanna Miesch"/>
        <s v="Rebecca Kalomiris"/>
        <s v="Jill Adams"/>
        <s v="Monica Garfias"/>
        <s v="Kelli Hansen"/>
        <s v="Chance Ramirez"/>
        <s v="Nicole Brogdon"/>
        <s v="Gabrielle Zandan"/>
        <s v="Gianna Viola"/>
        <s v="Elizaveta Potapenko"/>
        <s v="Kirk VanLaningham"/>
        <s v="Rebecca Kanady Huston"/>
        <s v="Laura Brudowsky"/>
        <s v="Julia Fazio"/>
        <s v="Claudine Lucena"/>
        <s v="Melissa Wilson"/>
        <s v="Chatone Strickland"/>
        <s v="Adam Collie Eccleston"/>
        <s v="Peyton English"/>
        <s v="Maxey J. Elliott"/>
        <s v="Leslie Tourish"/>
        <s v="Marissa Sanchez"/>
        <s v="Yamel Sandoval Quijano"/>
        <s v="CARMAhealth PLLC"/>
        <s v="Christopher J. Cisneros"/>
        <s v="Tom Umberger"/>
        <s v="Jennifer Biddle"/>
        <s v="Don Jones"/>
        <s v="Lynn Zipoy"/>
        <s v="Darcy Scott"/>
        <s v="Brendan Owens"/>
        <s v="Destany Schadder"/>
        <s v="Jean Ann Cordes Therapy"/>
        <s v="Martha Pulkingham"/>
        <s v="Karen Finley Breeding"/>
        <s v="Blair Rhodes"/>
        <s v="Marvin Hughes"/>
        <s v="Tracey McCullick"/>
        <s v="Alison Green"/>
        <s v="Kate Sheddan"/>
        <s v="Sarah Francis"/>
        <s v="Chrysalis Psychotherapy"/>
        <s v="Susanna Wetherington"/>
        <s v="Kelly Gadbury"/>
        <s v="Jasmine Espinoza"/>
        <s v="Joann Martilloti-Cartwright"/>
        <s v="Christie Wilke"/>
        <s v="Peter Stuart"/>
        <s v="Suzanne Camos"/>
        <s v="Brad Colbert"/>
        <s v="David Braham"/>
        <s v="Catherine Cogburn"/>
        <s v="Krystal Felan"/>
        <s v="Anita Jung"/>
        <s v="Denisa Washington"/>
        <s v="David Fornos"/>
        <s v="Mary Firme"/>
        <s v="Lisa Thaler"/>
        <s v="LaDetra Woodson"/>
        <s v="Frederic Wilson"/>
        <s v="Dianne Fish"/>
        <s v="J. Jade Adair"/>
        <s v="Deann Acton"/>
        <s v="James Maxwell"/>
        <s v="Heather Nirenberg McKillip"/>
        <s v="Lee Ann Cameron"/>
        <s v="Kendall Campbell"/>
        <s v="Delaney Menell"/>
        <s v="Patty Evers"/>
        <s v="Anne Korinek"/>
        <s v="Chris Farrell"/>
        <s v="Anna Eastman"/>
        <s v="Dan Stober"/>
        <s v="Jennifer Frazier"/>
        <s v="Bonnie Madison"/>
        <s v="Kimberly May"/>
        <s v="Tressie Seegers"/>
        <s v="Michael D. Romero, Tonality Counseling, PLLC"/>
        <s v="Alexandria Hays"/>
        <s v="Kery Rowden"/>
        <s v="Meghan Burgess"/>
        <s v="Elizabeth Dossman"/>
        <s v="Cassandra Gonzalez"/>
        <s v="Brandie Cole"/>
        <s v="Lisa Arronge"/>
        <s v="Michelle Vavich"/>
        <s v="Catalina Roads"/>
        <s v="Ilicia Balaban"/>
        <s v="Shawna Williams"/>
        <s v="Leigh Tenhet"/>
        <s v="Michelle Kelley Shuler"/>
        <s v="Alicia Pace"/>
        <s v="Fabianna L Laby"/>
        <s v="Vickie Schafer"/>
        <s v="Leslie Larson"/>
        <s v="Comfort Care and Counseling, PLLC"/>
        <s v="Daniel Escobar"/>
        <s v="Eboni Hamilton"/>
        <s v="Shelly Hogan"/>
        <s v="Hector Del Toro"/>
        <s v="Dixon J. Parnell"/>
        <s v="Lindy Noll"/>
        <s v="Benjamin Adam Johnson"/>
        <s v="Madeleine Azar"/>
        <s v="Cynthia Netting"/>
        <s v="Merri Isom"/>
        <s v="Edward Dreslinski"/>
        <s v="Mandi Roarke"/>
        <s v="Mark Odhner"/>
        <s v="Lisa Terrazas"/>
        <s v="Sarah A White"/>
        <s v="Tiffany Allen"/>
        <s v="Ruben J. Garcia"/>
        <s v="Frances Shelby"/>
      </sharedItems>
    </cacheField>
    <cacheField name="Co-Pay" numFmtId="165">
      <sharedItems containsSemiMixedTypes="0" containsString="0" containsNumber="1" containsInteger="1" minValue="0" maxValue="150"/>
    </cacheField>
    <cacheField name="SIMS" numFmtId="165">
      <sharedItems containsSemiMixedTypes="0" containsString="0" containsNumber="1" containsInteger="1" minValue="0" maxValue="75"/>
    </cacheField>
    <cacheField name="1st" numFmtId="49">
      <sharedItems containsMixedTypes="1" containsNumber="1" containsInteger="1" minValue="10" maxValue="10"/>
    </cacheField>
    <cacheField name="Total" numFmtId="165">
      <sharedItems containsSemiMixedTypes="0" containsString="0" containsNumber="1" containsInteger="1" minValue="0" maxValue="75"/>
    </cacheField>
    <cacheField name="Totals" numFmtId="49">
      <sharedItems/>
    </cacheField>
    <cacheField name="Approved?" numFmtId="49">
      <sharedItems count="2">
        <s v="No"/>
        <s v="Yes"/>
      </sharedItems>
    </cacheField>
    <cacheField name="Submitted" numFmtId="164">
      <sharedItems/>
    </cacheField>
    <cacheField name="Routing Number" numFmtId="49">
      <sharedItems containsBlank="1" containsMixedTypes="1" containsNumber="1" containsInteger="1" minValue="111000025" maxValue="586006778876"/>
    </cacheField>
    <cacheField name="Account Number" numFmtId="49">
      <sharedItems containsBlank="1" containsMixedTypes="1" containsNumber="1" containsInteger="1" minValue="288940" maxValue="96210991778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4">
  <r>
    <x v="0"/>
    <x v="0"/>
    <x v="0"/>
    <x v="0"/>
    <n v="30"/>
    <n v="35"/>
    <s v=" "/>
    <n v="35"/>
    <s v="-"/>
    <x v="0"/>
    <s v="10/15/2023"/>
    <n v="113000023"/>
    <n v="586037598423"/>
  </r>
  <r>
    <x v="0"/>
    <x v="1"/>
    <x v="1"/>
    <x v="0"/>
    <n v="35"/>
    <n v="30"/>
    <s v=" "/>
    <n v="30"/>
    <s v="-"/>
    <x v="0"/>
    <s v="10/15/2023"/>
    <n v="113000023"/>
    <n v="586037598423"/>
  </r>
  <r>
    <x v="1"/>
    <x v="2"/>
    <x v="2"/>
    <x v="1"/>
    <n v="45"/>
    <n v="20"/>
    <s v=" "/>
    <n v="20"/>
    <s v="-"/>
    <x v="0"/>
    <s v="10/31/2023"/>
    <n v="111900659"/>
    <s v="0194510160"/>
  </r>
  <r>
    <x v="1"/>
    <x v="3"/>
    <x v="3"/>
    <x v="1"/>
    <n v="60"/>
    <n v="0"/>
    <s v=" "/>
    <n v="0"/>
    <s v="-"/>
    <x v="0"/>
    <s v="10/31/2023"/>
    <n v="111900659"/>
    <s v="0194510160"/>
  </r>
  <r>
    <x v="2"/>
    <x v="4"/>
    <x v="4"/>
    <x v="0"/>
    <n v="21"/>
    <n v="39"/>
    <s v=" "/>
    <n v="39"/>
    <s v="-"/>
    <x v="0"/>
    <s v="10/16/2023"/>
    <n v="113000023"/>
    <n v="586037598423"/>
  </r>
  <r>
    <x v="3"/>
    <x v="0"/>
    <x v="0"/>
    <x v="0"/>
    <n v="30"/>
    <n v="35"/>
    <s v=" "/>
    <n v="35"/>
    <s v="-"/>
    <x v="1"/>
    <s v="10/15/2023"/>
    <n v="113000023"/>
    <n v="586037598423"/>
  </r>
  <r>
    <x v="3"/>
    <x v="1"/>
    <x v="1"/>
    <x v="0"/>
    <n v="35"/>
    <n v="30"/>
    <s v=" "/>
    <n v="30"/>
    <s v="-"/>
    <x v="1"/>
    <s v="10/15/2023"/>
    <n v="113000023"/>
    <n v="586037598423"/>
  </r>
  <r>
    <x v="4"/>
    <x v="2"/>
    <x v="2"/>
    <x v="1"/>
    <n v="45"/>
    <n v="20"/>
    <s v=" "/>
    <n v="20"/>
    <s v="-"/>
    <x v="0"/>
    <s v="10/31/2023"/>
    <n v="111900659"/>
    <s v="0194510160"/>
  </r>
  <r>
    <x v="4"/>
    <x v="3"/>
    <x v="3"/>
    <x v="1"/>
    <n v="60"/>
    <n v="0"/>
    <s v=" "/>
    <n v="0"/>
    <s v="-"/>
    <x v="0"/>
    <s v="10/31/2023"/>
    <n v="111900659"/>
    <s v="0194510160"/>
  </r>
  <r>
    <x v="5"/>
    <x v="5"/>
    <x v="5"/>
    <x v="0"/>
    <n v="21"/>
    <n v="44"/>
    <s v=" "/>
    <n v="44"/>
    <s v="-"/>
    <x v="1"/>
    <s v="10/15/2023"/>
    <n v="113000023"/>
    <n v="586037598423"/>
  </r>
  <r>
    <x v="6"/>
    <x v="6"/>
    <x v="6"/>
    <x v="2"/>
    <n v="20"/>
    <n v="40"/>
    <s v=" "/>
    <n v="40"/>
    <s v="-"/>
    <x v="1"/>
    <s v="10/09/2023"/>
    <n v="111900659"/>
    <n v="8754979113"/>
  </r>
  <r>
    <x v="7"/>
    <x v="5"/>
    <x v="5"/>
    <x v="0"/>
    <n v="21"/>
    <n v="44"/>
    <s v=" "/>
    <n v="44"/>
    <s v="-"/>
    <x v="1"/>
    <s v="10/15/2023"/>
    <n v="113000023"/>
    <n v="586037598423"/>
  </r>
  <r>
    <x v="8"/>
    <x v="1"/>
    <x v="1"/>
    <x v="0"/>
    <n v="35"/>
    <n v="30"/>
    <s v=" "/>
    <n v="30"/>
    <s v="-"/>
    <x v="1"/>
    <s v="10/15/2023"/>
    <n v="113000023"/>
    <n v="586037598423"/>
  </r>
  <r>
    <x v="9"/>
    <x v="2"/>
    <x v="2"/>
    <x v="1"/>
    <n v="45"/>
    <n v="20"/>
    <s v=" "/>
    <n v="20"/>
    <s v="-"/>
    <x v="1"/>
    <s v="10/31/2023"/>
    <n v="111900659"/>
    <s v="0194510160"/>
  </r>
  <r>
    <x v="9"/>
    <x v="3"/>
    <x v="3"/>
    <x v="1"/>
    <n v="60"/>
    <n v="0"/>
    <s v=" "/>
    <n v="0"/>
    <s v="-"/>
    <x v="1"/>
    <s v="10/31/2023"/>
    <n v="111900659"/>
    <s v="0194510160"/>
  </r>
  <r>
    <x v="10"/>
    <x v="7"/>
    <x v="7"/>
    <x v="3"/>
    <n v="20"/>
    <n v="45"/>
    <s v=" "/>
    <n v="45"/>
    <s v="-"/>
    <x v="1"/>
    <s v="10/12/2023"/>
    <n v="114000093"/>
    <n v="352031183"/>
  </r>
  <r>
    <x v="10"/>
    <x v="8"/>
    <x v="8"/>
    <x v="2"/>
    <n v="5"/>
    <n v="60"/>
    <s v=" "/>
    <n v="60"/>
    <s v="-"/>
    <x v="1"/>
    <s v="10/09/2023"/>
    <n v="111900659"/>
    <n v="8754979113"/>
  </r>
  <r>
    <x v="10"/>
    <x v="9"/>
    <x v="9"/>
    <x v="3"/>
    <n v="20"/>
    <n v="40"/>
    <s v=" "/>
    <n v="40"/>
    <s v="-"/>
    <x v="1"/>
    <s v="10/12/2023"/>
    <n v="114000093"/>
    <n v="352031183"/>
  </r>
  <r>
    <x v="10"/>
    <x v="10"/>
    <x v="10"/>
    <x v="4"/>
    <n v="50"/>
    <n v="15"/>
    <s v=" "/>
    <n v="15"/>
    <s v="-"/>
    <x v="1"/>
    <s v="10/26/2023"/>
    <m/>
    <m/>
  </r>
  <r>
    <x v="10"/>
    <x v="11"/>
    <x v="11"/>
    <x v="4"/>
    <n v="32"/>
    <n v="33"/>
    <s v=" "/>
    <n v="33"/>
    <s v="-"/>
    <x v="1"/>
    <s v="10/26/2023"/>
    <m/>
    <m/>
  </r>
  <r>
    <x v="10"/>
    <x v="12"/>
    <x v="12"/>
    <x v="2"/>
    <n v="11"/>
    <n v="49"/>
    <s v=" "/>
    <n v="49"/>
    <s v="-"/>
    <x v="1"/>
    <s v="10/09/2023"/>
    <n v="111900659"/>
    <n v="8754979113"/>
  </r>
  <r>
    <x v="11"/>
    <x v="4"/>
    <x v="4"/>
    <x v="0"/>
    <n v="21"/>
    <n v="39"/>
    <s v=" "/>
    <n v="39"/>
    <s v="-"/>
    <x v="1"/>
    <s v="10/16/2023"/>
    <n v="113000023"/>
    <n v="586037598423"/>
  </r>
  <r>
    <x v="11"/>
    <x v="13"/>
    <x v="13"/>
    <x v="3"/>
    <n v="6"/>
    <n v="54"/>
    <s v=" "/>
    <n v="54"/>
    <s v="-"/>
    <x v="1"/>
    <s v="10/12/2023"/>
    <n v="114000093"/>
    <n v="352031183"/>
  </r>
  <r>
    <x v="11"/>
    <x v="14"/>
    <x v="14"/>
    <x v="2"/>
    <n v="12"/>
    <n v="48"/>
    <s v=" "/>
    <n v="48"/>
    <s v="-"/>
    <x v="1"/>
    <s v="10/09/2023"/>
    <n v="111900659"/>
    <n v="8754979113"/>
  </r>
  <r>
    <x v="11"/>
    <x v="15"/>
    <x v="15"/>
    <x v="2"/>
    <n v="20"/>
    <n v="45"/>
    <s v=" "/>
    <n v="45"/>
    <s v="-"/>
    <x v="1"/>
    <s v="10/09/2023"/>
    <n v="111900659"/>
    <n v="8754979113"/>
  </r>
  <r>
    <x v="11"/>
    <x v="16"/>
    <x v="16"/>
    <x v="5"/>
    <n v="20"/>
    <n v="40"/>
    <s v=" "/>
    <n v="40"/>
    <s v="-"/>
    <x v="1"/>
    <s v="10/30/2023"/>
    <s v="071000013"/>
    <n v="1110027356722"/>
  </r>
  <r>
    <x v="11"/>
    <x v="17"/>
    <x v="17"/>
    <x v="6"/>
    <n v="0"/>
    <n v="65"/>
    <s v=" "/>
    <n v="65"/>
    <s v="-"/>
    <x v="1"/>
    <s v="10/02/2023"/>
    <n v="111000614"/>
    <n v="791103770"/>
  </r>
  <r>
    <x v="11"/>
    <x v="18"/>
    <x v="18"/>
    <x v="2"/>
    <n v="5"/>
    <n v="65"/>
    <s v=" "/>
    <n v="65"/>
    <s v="-"/>
    <x v="1"/>
    <s v="10/09/2023"/>
    <n v="111900659"/>
    <n v="8754979113"/>
  </r>
  <r>
    <x v="12"/>
    <x v="19"/>
    <x v="19"/>
    <x v="2"/>
    <n v="20"/>
    <n v="45"/>
    <n v="10"/>
    <n v="55"/>
    <s v="-"/>
    <x v="1"/>
    <s v="10/09/2023"/>
    <n v="111900659"/>
    <n v="8754979113"/>
  </r>
  <r>
    <x v="12"/>
    <x v="20"/>
    <x v="20"/>
    <x v="3"/>
    <n v="12"/>
    <n v="48"/>
    <s v=" "/>
    <n v="48"/>
    <s v="-"/>
    <x v="1"/>
    <s v="10/12/2023"/>
    <n v="114000093"/>
    <n v="352031183"/>
  </r>
  <r>
    <x v="12"/>
    <x v="21"/>
    <x v="21"/>
    <x v="7"/>
    <n v="40"/>
    <n v="20"/>
    <s v=" "/>
    <n v="20"/>
    <s v="-"/>
    <x v="1"/>
    <s v="10/11/2023"/>
    <m/>
    <m/>
  </r>
  <r>
    <x v="12"/>
    <x v="6"/>
    <x v="6"/>
    <x v="2"/>
    <n v="20"/>
    <n v="40"/>
    <s v=" "/>
    <n v="40"/>
    <s v="-"/>
    <x v="1"/>
    <s v="10/09/2023"/>
    <n v="111900659"/>
    <n v="8754979113"/>
  </r>
  <r>
    <x v="12"/>
    <x v="22"/>
    <x v="22"/>
    <x v="4"/>
    <n v="55"/>
    <n v="5"/>
    <s v=" "/>
    <n v="5"/>
    <s v="-"/>
    <x v="1"/>
    <s v="10/26/2023"/>
    <m/>
    <m/>
  </r>
  <r>
    <x v="13"/>
    <x v="23"/>
    <x v="23"/>
    <x v="2"/>
    <n v="31"/>
    <n v="29"/>
    <s v=" "/>
    <n v="29"/>
    <s v="-"/>
    <x v="1"/>
    <s v="10/09/2023"/>
    <n v="111900659"/>
    <n v="8754979113"/>
  </r>
  <r>
    <x v="13"/>
    <x v="24"/>
    <x v="24"/>
    <x v="6"/>
    <n v="10"/>
    <n v="55"/>
    <s v=" "/>
    <n v="55"/>
    <s v="-"/>
    <x v="1"/>
    <s v="10/02/2023"/>
    <n v="111000614"/>
    <n v="791103770"/>
  </r>
  <r>
    <x v="13"/>
    <x v="25"/>
    <x v="25"/>
    <x v="8"/>
    <n v="10"/>
    <n v="55"/>
    <n v="10"/>
    <n v="65"/>
    <s v="-"/>
    <x v="1"/>
    <s v="10/02/2023"/>
    <n v="111000614"/>
    <n v="982027275"/>
  </r>
  <r>
    <x v="14"/>
    <x v="26"/>
    <x v="26"/>
    <x v="9"/>
    <n v="50"/>
    <n v="10"/>
    <s v=" "/>
    <n v="10"/>
    <s v="-"/>
    <x v="1"/>
    <s v="10/01/2023"/>
    <n v="586006778876"/>
    <n v="586006778876"/>
  </r>
  <r>
    <x v="14"/>
    <x v="27"/>
    <x v="27"/>
    <x v="10"/>
    <n v="30"/>
    <n v="30"/>
    <s v=" "/>
    <n v="30"/>
    <s v="-"/>
    <x v="1"/>
    <s v="10/20/2023"/>
    <n v="113000023"/>
    <n v="586036363905"/>
  </r>
  <r>
    <x v="15"/>
    <x v="12"/>
    <x v="12"/>
    <x v="2"/>
    <n v="11"/>
    <n v="49"/>
    <s v=" "/>
    <n v="49"/>
    <s v="-"/>
    <x v="1"/>
    <s v="10/09/2023"/>
    <n v="111900659"/>
    <n v="8754979113"/>
  </r>
  <r>
    <x v="15"/>
    <x v="28"/>
    <x v="28"/>
    <x v="4"/>
    <n v="20"/>
    <n v="40"/>
    <s v=" "/>
    <n v="40"/>
    <s v="-"/>
    <x v="1"/>
    <s v="10/26/2023"/>
    <m/>
    <m/>
  </r>
  <r>
    <x v="16"/>
    <x v="29"/>
    <x v="29"/>
    <x v="11"/>
    <n v="20"/>
    <n v="40"/>
    <s v=" "/>
    <n v="40"/>
    <s v="-"/>
    <x v="1"/>
    <s v="10/01/2023"/>
    <n v="314977405"/>
    <n v="901205198"/>
  </r>
  <r>
    <x v="16"/>
    <x v="30"/>
    <x v="30"/>
    <x v="2"/>
    <n v="5"/>
    <n v="60"/>
    <s v=" "/>
    <n v="60"/>
    <s v="-"/>
    <x v="1"/>
    <s v="10/09/2023"/>
    <n v="111900659"/>
    <n v="8754979113"/>
  </r>
  <r>
    <x v="16"/>
    <x v="13"/>
    <x v="13"/>
    <x v="3"/>
    <n v="6"/>
    <n v="54"/>
    <s v=" "/>
    <n v="54"/>
    <s v="-"/>
    <x v="1"/>
    <s v="10/12/2023"/>
    <n v="114000093"/>
    <n v="352031183"/>
  </r>
  <r>
    <x v="16"/>
    <x v="31"/>
    <x v="31"/>
    <x v="5"/>
    <n v="11"/>
    <n v="49"/>
    <s v=" "/>
    <n v="49"/>
    <s v="-"/>
    <x v="1"/>
    <s v="10/30/2023"/>
    <s v="071000013"/>
    <n v="1110027356722"/>
  </r>
  <r>
    <x v="16"/>
    <x v="11"/>
    <x v="11"/>
    <x v="4"/>
    <n v="32"/>
    <n v="33"/>
    <s v=" "/>
    <n v="33"/>
    <s v="-"/>
    <x v="1"/>
    <s v="10/26/2023"/>
    <m/>
    <m/>
  </r>
  <r>
    <x v="16"/>
    <x v="32"/>
    <x v="32"/>
    <x v="12"/>
    <n v="30"/>
    <n v="30"/>
    <s v=" "/>
    <n v="30"/>
    <s v="-"/>
    <x v="1"/>
    <s v="10/11/2023"/>
    <n v="111900659"/>
    <n v="8721262510"/>
  </r>
  <r>
    <x v="16"/>
    <x v="14"/>
    <x v="14"/>
    <x v="2"/>
    <n v="12"/>
    <n v="48"/>
    <s v=" "/>
    <n v="48"/>
    <s v="-"/>
    <x v="1"/>
    <s v="10/09/2023"/>
    <n v="111900659"/>
    <n v="8754979113"/>
  </r>
  <r>
    <x v="16"/>
    <x v="24"/>
    <x v="24"/>
    <x v="6"/>
    <n v="10"/>
    <n v="55"/>
    <s v=" "/>
    <n v="55"/>
    <s v="-"/>
    <x v="1"/>
    <s v="10/02/2023"/>
    <n v="111000614"/>
    <n v="791103770"/>
  </r>
  <r>
    <x v="16"/>
    <x v="33"/>
    <x v="33"/>
    <x v="13"/>
    <n v="11"/>
    <n v="54"/>
    <s v=" "/>
    <n v="54"/>
    <s v="-"/>
    <x v="1"/>
    <s v="10/03/2023"/>
    <m/>
    <m/>
  </r>
  <r>
    <x v="16"/>
    <x v="17"/>
    <x v="17"/>
    <x v="6"/>
    <n v="0"/>
    <n v="65"/>
    <s v=" "/>
    <n v="65"/>
    <s v="-"/>
    <x v="1"/>
    <s v="10/02/2023"/>
    <n v="111000614"/>
    <n v="791103770"/>
  </r>
  <r>
    <x v="16"/>
    <x v="34"/>
    <x v="34"/>
    <x v="12"/>
    <n v="10"/>
    <n v="50"/>
    <s v=" "/>
    <n v="50"/>
    <s v="-"/>
    <x v="1"/>
    <s v="10/11/2023"/>
    <n v="111900659"/>
    <n v="8721262510"/>
  </r>
  <r>
    <x v="17"/>
    <x v="35"/>
    <x v="35"/>
    <x v="9"/>
    <n v="25"/>
    <n v="35"/>
    <s v=" "/>
    <n v="35"/>
    <s v="-"/>
    <x v="1"/>
    <s v="10/01/2023"/>
    <n v="586006778876"/>
    <n v="586006778876"/>
  </r>
  <r>
    <x v="17"/>
    <x v="36"/>
    <x v="36"/>
    <x v="3"/>
    <n v="10"/>
    <n v="50"/>
    <s v=" "/>
    <n v="50"/>
    <s v="-"/>
    <x v="1"/>
    <s v="10/12/2023"/>
    <n v="114000093"/>
    <n v="352031183"/>
  </r>
  <r>
    <x v="17"/>
    <x v="37"/>
    <x v="37"/>
    <x v="9"/>
    <n v="20"/>
    <n v="40"/>
    <s v=" "/>
    <n v="40"/>
    <s v="-"/>
    <x v="1"/>
    <s v="10/01/2023"/>
    <n v="586006778876"/>
    <n v="586006778876"/>
  </r>
  <r>
    <x v="17"/>
    <x v="38"/>
    <x v="38"/>
    <x v="9"/>
    <n v="11"/>
    <n v="49"/>
    <s v=" "/>
    <n v="49"/>
    <s v="-"/>
    <x v="1"/>
    <s v="10/01/2023"/>
    <n v="586006778876"/>
    <n v="586006778876"/>
  </r>
  <r>
    <x v="17"/>
    <x v="39"/>
    <x v="39"/>
    <x v="3"/>
    <n v="10"/>
    <n v="55"/>
    <s v=" "/>
    <n v="55"/>
    <s v="-"/>
    <x v="1"/>
    <s v="10/12/2023"/>
    <n v="114000093"/>
    <n v="352031183"/>
  </r>
  <r>
    <x v="17"/>
    <x v="9"/>
    <x v="9"/>
    <x v="3"/>
    <n v="20"/>
    <n v="40"/>
    <s v=" "/>
    <n v="40"/>
    <s v="-"/>
    <x v="1"/>
    <s v="10/12/2023"/>
    <n v="114000093"/>
    <n v="352031183"/>
  </r>
  <r>
    <x v="17"/>
    <x v="40"/>
    <x v="40"/>
    <x v="11"/>
    <n v="5"/>
    <n v="35"/>
    <s v=" "/>
    <n v="35"/>
    <s v="-"/>
    <x v="1"/>
    <s v="10/01/2023"/>
    <n v="314977405"/>
    <n v="901205198"/>
  </r>
  <r>
    <x v="17"/>
    <x v="41"/>
    <x v="41"/>
    <x v="2"/>
    <n v="20"/>
    <n v="40"/>
    <s v=" "/>
    <n v="40"/>
    <s v="-"/>
    <x v="1"/>
    <s v="10/09/2023"/>
    <n v="111900659"/>
    <n v="8754979113"/>
  </r>
  <r>
    <x v="18"/>
    <x v="42"/>
    <x v="42"/>
    <x v="12"/>
    <n v="15"/>
    <n v="50"/>
    <n v="10"/>
    <n v="60"/>
    <s v="-"/>
    <x v="1"/>
    <s v="10/11/2023"/>
    <n v="111900659"/>
    <n v="8721262510"/>
  </r>
  <r>
    <x v="19"/>
    <x v="2"/>
    <x v="2"/>
    <x v="1"/>
    <n v="45"/>
    <n v="20"/>
    <s v=" "/>
    <n v="20"/>
    <s v="-"/>
    <x v="1"/>
    <s v="10/31/2023"/>
    <n v="111900659"/>
    <s v="0194510160"/>
  </r>
  <r>
    <x v="19"/>
    <x v="3"/>
    <x v="3"/>
    <x v="1"/>
    <n v="60"/>
    <n v="0"/>
    <s v=" "/>
    <n v="0"/>
    <s v="-"/>
    <x v="1"/>
    <s v="10/31/2023"/>
    <n v="111900659"/>
    <s v="0194510160"/>
  </r>
  <r>
    <x v="19"/>
    <x v="43"/>
    <x v="43"/>
    <x v="14"/>
    <n v="10"/>
    <n v="50"/>
    <s v=" "/>
    <n v="50"/>
    <s v="-"/>
    <x v="1"/>
    <s v="10/04/2023"/>
    <n v="111000614"/>
    <n v="3111463109"/>
  </r>
  <r>
    <x v="19"/>
    <x v="44"/>
    <x v="44"/>
    <x v="5"/>
    <n v="50"/>
    <n v="10"/>
    <s v=" "/>
    <n v="10"/>
    <s v="-"/>
    <x v="1"/>
    <s v="10/30/2023"/>
    <s v="071000013"/>
    <n v="1110027356722"/>
  </r>
  <r>
    <x v="19"/>
    <x v="45"/>
    <x v="45"/>
    <x v="4"/>
    <n v="30"/>
    <n v="30"/>
    <s v=" "/>
    <n v="30"/>
    <s v="-"/>
    <x v="1"/>
    <s v="10/26/2023"/>
    <m/>
    <m/>
  </r>
  <r>
    <x v="19"/>
    <x v="46"/>
    <x v="46"/>
    <x v="15"/>
    <n v="20"/>
    <n v="45"/>
    <n v="10"/>
    <n v="55"/>
    <s v="-"/>
    <x v="1"/>
    <s v="10/17/2023"/>
    <n v="111000614"/>
    <n v="667133828"/>
  </r>
  <r>
    <x v="20"/>
    <x v="5"/>
    <x v="5"/>
    <x v="0"/>
    <n v="21"/>
    <n v="44"/>
    <s v=" "/>
    <n v="44"/>
    <s v="-"/>
    <x v="1"/>
    <s v="10/16/2023"/>
    <n v="113000023"/>
    <n v="586037598423"/>
  </r>
  <r>
    <x v="20"/>
    <x v="8"/>
    <x v="8"/>
    <x v="2"/>
    <n v="5"/>
    <n v="60"/>
    <s v=" "/>
    <n v="60"/>
    <s v="-"/>
    <x v="1"/>
    <s v="10/09/2023"/>
    <n v="111900659"/>
    <n v="8754979113"/>
  </r>
  <r>
    <x v="20"/>
    <x v="47"/>
    <x v="47"/>
    <x v="3"/>
    <n v="15"/>
    <n v="50"/>
    <s v=" "/>
    <n v="50"/>
    <s v="-"/>
    <x v="1"/>
    <s v="10/12/2023"/>
    <n v="114000093"/>
    <n v="352031183"/>
  </r>
  <r>
    <x v="20"/>
    <x v="48"/>
    <x v="48"/>
    <x v="5"/>
    <n v="30"/>
    <n v="30"/>
    <s v=" "/>
    <n v="30"/>
    <s v="-"/>
    <x v="1"/>
    <s v="10/30/2023"/>
    <s v="071000013"/>
    <n v="1110027356722"/>
  </r>
  <r>
    <x v="20"/>
    <x v="11"/>
    <x v="11"/>
    <x v="4"/>
    <n v="32"/>
    <n v="33"/>
    <s v=" "/>
    <n v="33"/>
    <s v="-"/>
    <x v="1"/>
    <s v="10/26/2023"/>
    <m/>
    <m/>
  </r>
  <r>
    <x v="20"/>
    <x v="49"/>
    <x v="49"/>
    <x v="16"/>
    <n v="11"/>
    <n v="54"/>
    <s v=" "/>
    <n v="54"/>
    <s v="-"/>
    <x v="1"/>
    <s v="10/20/2023"/>
    <m/>
    <m/>
  </r>
  <r>
    <x v="20"/>
    <x v="50"/>
    <x v="50"/>
    <x v="3"/>
    <n v="6"/>
    <n v="54"/>
    <s v=" "/>
    <n v="54"/>
    <s v="-"/>
    <x v="1"/>
    <s v="10/12/2023"/>
    <n v="114000093"/>
    <n v="352031183"/>
  </r>
  <r>
    <x v="20"/>
    <x v="12"/>
    <x v="12"/>
    <x v="2"/>
    <n v="11"/>
    <n v="49"/>
    <s v=" "/>
    <n v="49"/>
    <s v="-"/>
    <x v="1"/>
    <s v="10/09/2023"/>
    <n v="111900659"/>
    <n v="8754979113"/>
  </r>
  <r>
    <x v="20"/>
    <x v="18"/>
    <x v="18"/>
    <x v="2"/>
    <n v="5"/>
    <n v="65"/>
    <s v=" "/>
    <n v="65"/>
    <s v="-"/>
    <x v="1"/>
    <s v="10/09/2023"/>
    <n v="111900659"/>
    <n v="8754979113"/>
  </r>
  <r>
    <x v="21"/>
    <x v="29"/>
    <x v="29"/>
    <x v="11"/>
    <n v="20"/>
    <n v="40"/>
    <s v=" "/>
    <n v="40"/>
    <s v="-"/>
    <x v="1"/>
    <s v="10/01/2023"/>
    <n v="314977405"/>
    <n v="901205198"/>
  </r>
  <r>
    <x v="21"/>
    <x v="0"/>
    <x v="0"/>
    <x v="0"/>
    <n v="30"/>
    <n v="35"/>
    <s v=" "/>
    <n v="35"/>
    <s v="-"/>
    <x v="1"/>
    <s v="10/15/2023"/>
    <n v="113000023"/>
    <n v="586037598423"/>
  </r>
  <r>
    <x v="21"/>
    <x v="13"/>
    <x v="13"/>
    <x v="3"/>
    <n v="6"/>
    <n v="54"/>
    <s v=" "/>
    <n v="54"/>
    <s v="-"/>
    <x v="1"/>
    <s v="10/12/2023"/>
    <n v="114000093"/>
    <n v="352031183"/>
  </r>
  <r>
    <x v="21"/>
    <x v="15"/>
    <x v="15"/>
    <x v="2"/>
    <n v="20"/>
    <n v="45"/>
    <s v=" "/>
    <n v="45"/>
    <s v="-"/>
    <x v="1"/>
    <s v="10/09/2023"/>
    <n v="111900659"/>
    <n v="8754979113"/>
  </r>
  <r>
    <x v="21"/>
    <x v="16"/>
    <x v="16"/>
    <x v="5"/>
    <n v="20"/>
    <n v="40"/>
    <s v=" "/>
    <n v="40"/>
    <s v="-"/>
    <x v="1"/>
    <s v="10/30/2023"/>
    <s v="071000013"/>
    <n v="1110027356722"/>
  </r>
  <r>
    <x v="21"/>
    <x v="51"/>
    <x v="51"/>
    <x v="6"/>
    <n v="0"/>
    <n v="60"/>
    <s v=" "/>
    <n v="60"/>
    <s v="-"/>
    <x v="1"/>
    <s v="10/02/2023"/>
    <n v="111000614"/>
    <n v="791103770"/>
  </r>
  <r>
    <x v="22"/>
    <x v="7"/>
    <x v="7"/>
    <x v="3"/>
    <n v="20"/>
    <n v="45"/>
    <s v=" "/>
    <n v="45"/>
    <s v="-"/>
    <x v="1"/>
    <s v="10/12/2023"/>
    <n v="114000093"/>
    <n v="352031183"/>
  </r>
  <r>
    <x v="22"/>
    <x v="52"/>
    <x v="52"/>
    <x v="17"/>
    <n v="15"/>
    <n v="45"/>
    <s v=" "/>
    <n v="45"/>
    <s v="-"/>
    <x v="1"/>
    <s v="10/03/2023"/>
    <s v="071921891"/>
    <n v="4955495358"/>
  </r>
  <r>
    <x v="22"/>
    <x v="19"/>
    <x v="19"/>
    <x v="2"/>
    <n v="20"/>
    <n v="45"/>
    <s v=" "/>
    <n v="45"/>
    <s v="-"/>
    <x v="1"/>
    <s v="10/09/2023"/>
    <n v="111900659"/>
    <n v="8754979113"/>
  </r>
  <r>
    <x v="22"/>
    <x v="23"/>
    <x v="23"/>
    <x v="2"/>
    <n v="10"/>
    <n v="55"/>
    <s v=" "/>
    <n v="55"/>
    <s v="-"/>
    <x v="1"/>
    <s v="10/09/2023"/>
    <n v="111900659"/>
    <n v="8754979113"/>
  </r>
  <r>
    <x v="22"/>
    <x v="9"/>
    <x v="9"/>
    <x v="3"/>
    <n v="20"/>
    <n v="40"/>
    <s v=" "/>
    <n v="40"/>
    <s v="-"/>
    <x v="1"/>
    <s v="10/12/2023"/>
    <n v="114000093"/>
    <n v="352031183"/>
  </r>
  <r>
    <x v="22"/>
    <x v="53"/>
    <x v="53"/>
    <x v="18"/>
    <n v="50"/>
    <n v="10"/>
    <n v="10"/>
    <n v="20"/>
    <s v="-"/>
    <x v="1"/>
    <s v="10/11/2023"/>
    <m/>
    <m/>
  </r>
  <r>
    <x v="22"/>
    <x v="6"/>
    <x v="6"/>
    <x v="2"/>
    <n v="20"/>
    <n v="40"/>
    <s v=" "/>
    <n v="40"/>
    <s v="-"/>
    <x v="1"/>
    <s v="10/09/2023"/>
    <n v="111900659"/>
    <n v="8754979113"/>
  </r>
  <r>
    <x v="22"/>
    <x v="40"/>
    <x v="40"/>
    <x v="11"/>
    <n v="5"/>
    <n v="35"/>
    <s v=" "/>
    <n v="35"/>
    <s v="-"/>
    <x v="1"/>
    <s v="10/01/2023"/>
    <n v="314977405"/>
    <n v="901205198"/>
  </r>
  <r>
    <x v="22"/>
    <x v="22"/>
    <x v="22"/>
    <x v="4"/>
    <n v="55"/>
    <n v="5"/>
    <s v=" "/>
    <n v="5"/>
    <s v="-"/>
    <x v="1"/>
    <s v="10/26/2023"/>
    <m/>
    <m/>
  </r>
  <r>
    <x v="23"/>
    <x v="54"/>
    <x v="54"/>
    <x v="19"/>
    <n v="10"/>
    <n v="50"/>
    <s v=" "/>
    <n v="50"/>
    <s v="-"/>
    <x v="1"/>
    <s v="10/04/2023"/>
    <n v="314977405"/>
    <n v="1800901526873"/>
  </r>
  <r>
    <x v="24"/>
    <x v="27"/>
    <x v="27"/>
    <x v="10"/>
    <n v="30"/>
    <n v="30"/>
    <s v=" "/>
    <n v="30"/>
    <s v="-"/>
    <x v="1"/>
    <s v="10/20/2023"/>
    <n v="113000023"/>
    <n v="586036363905"/>
  </r>
  <r>
    <x v="24"/>
    <x v="45"/>
    <x v="45"/>
    <x v="4"/>
    <n v="30"/>
    <n v="30"/>
    <s v=" "/>
    <n v="30"/>
    <s v="-"/>
    <x v="1"/>
    <s v="10/26/2023"/>
    <m/>
    <m/>
  </r>
  <r>
    <x v="24"/>
    <x v="42"/>
    <x v="42"/>
    <x v="12"/>
    <n v="15"/>
    <n v="50"/>
    <s v=" "/>
    <n v="50"/>
    <s v="-"/>
    <x v="1"/>
    <s v="10/11/2023"/>
    <n v="111900659"/>
    <n v="8721262510"/>
  </r>
  <r>
    <x v="24"/>
    <x v="34"/>
    <x v="34"/>
    <x v="12"/>
    <n v="10"/>
    <n v="50"/>
    <s v=" "/>
    <n v="50"/>
    <s v="-"/>
    <x v="1"/>
    <s v="10/11/2023"/>
    <n v="111900659"/>
    <n v="8721262510"/>
  </r>
  <r>
    <x v="25"/>
    <x v="7"/>
    <x v="7"/>
    <x v="3"/>
    <n v="20"/>
    <n v="45"/>
    <s v=" "/>
    <n v="45"/>
    <s v="-"/>
    <x v="1"/>
    <s v="10/12/2023"/>
    <n v="114000093"/>
    <n v="352031183"/>
  </r>
  <r>
    <x v="25"/>
    <x v="55"/>
    <x v="55"/>
    <x v="20"/>
    <n v="40"/>
    <n v="20"/>
    <s v=" "/>
    <n v="20"/>
    <s v="-"/>
    <x v="1"/>
    <s v="10/01/2023"/>
    <n v="314089681"/>
    <n v="188736177"/>
  </r>
  <r>
    <x v="25"/>
    <x v="9"/>
    <x v="9"/>
    <x v="3"/>
    <n v="20"/>
    <n v="40"/>
    <s v=" "/>
    <n v="40"/>
    <s v="-"/>
    <x v="1"/>
    <s v="10/12/2023"/>
    <n v="114000093"/>
    <n v="352031183"/>
  </r>
  <r>
    <x v="25"/>
    <x v="12"/>
    <x v="12"/>
    <x v="2"/>
    <n v="11"/>
    <n v="49"/>
    <s v=" "/>
    <n v="49"/>
    <s v="-"/>
    <x v="1"/>
    <s v="10/09/2023"/>
    <n v="111900659"/>
    <n v="8754979113"/>
  </r>
  <r>
    <x v="25"/>
    <x v="56"/>
    <x v="56"/>
    <x v="20"/>
    <n v="30"/>
    <n v="30"/>
    <s v=" "/>
    <n v="30"/>
    <s v="-"/>
    <x v="1"/>
    <s v="10/01/2023"/>
    <n v="314089681"/>
    <n v="188736177"/>
  </r>
  <r>
    <x v="25"/>
    <x v="28"/>
    <x v="28"/>
    <x v="4"/>
    <n v="20"/>
    <n v="40"/>
    <s v=" "/>
    <n v="40"/>
    <s v="-"/>
    <x v="1"/>
    <s v="10/26/2023"/>
    <m/>
    <m/>
  </r>
  <r>
    <x v="26"/>
    <x v="36"/>
    <x v="36"/>
    <x v="3"/>
    <n v="10"/>
    <n v="50"/>
    <s v=" "/>
    <n v="50"/>
    <s v="-"/>
    <x v="1"/>
    <s v="10/12/2023"/>
    <n v="114000093"/>
    <n v="352031183"/>
  </r>
  <r>
    <x v="26"/>
    <x v="13"/>
    <x v="13"/>
    <x v="3"/>
    <n v="6"/>
    <n v="54"/>
    <s v=" "/>
    <n v="54"/>
    <s v="-"/>
    <x v="1"/>
    <s v="10/12/2023"/>
    <n v="114000093"/>
    <n v="352031183"/>
  </r>
  <r>
    <x v="26"/>
    <x v="57"/>
    <x v="57"/>
    <x v="21"/>
    <n v="25"/>
    <n v="35"/>
    <s v=" "/>
    <n v="35"/>
    <s v="-"/>
    <x v="1"/>
    <s v="10/03/2023"/>
    <n v="114000093"/>
    <n v="59251900"/>
  </r>
  <r>
    <x v="26"/>
    <x v="31"/>
    <x v="31"/>
    <x v="5"/>
    <n v="11"/>
    <n v="49"/>
    <s v=" "/>
    <n v="49"/>
    <s v="-"/>
    <x v="1"/>
    <s v="10/30/2023"/>
    <s v="071000013"/>
    <n v="1110027356722"/>
  </r>
  <r>
    <x v="26"/>
    <x v="1"/>
    <x v="1"/>
    <x v="0"/>
    <n v="35"/>
    <n v="30"/>
    <s v=" "/>
    <n v="30"/>
    <s v="-"/>
    <x v="1"/>
    <s v="10/16/2023"/>
    <n v="113000023"/>
    <n v="586037598423"/>
  </r>
  <r>
    <x v="26"/>
    <x v="58"/>
    <x v="58"/>
    <x v="22"/>
    <n v="30"/>
    <n v="35"/>
    <s v=" "/>
    <n v="35"/>
    <s v="-"/>
    <x v="1"/>
    <s v="10/10/2023"/>
    <n v="314977405"/>
    <n v="901598282"/>
  </r>
  <r>
    <x v="26"/>
    <x v="59"/>
    <x v="59"/>
    <x v="23"/>
    <n v="35"/>
    <n v="30"/>
    <n v="10"/>
    <n v="40"/>
    <s v="-"/>
    <x v="1"/>
    <s v="10/03/2023"/>
    <m/>
    <m/>
  </r>
  <r>
    <x v="26"/>
    <x v="14"/>
    <x v="14"/>
    <x v="2"/>
    <n v="12"/>
    <n v="48"/>
    <s v=" "/>
    <n v="48"/>
    <s v="-"/>
    <x v="1"/>
    <s v="10/09/2023"/>
    <n v="111900659"/>
    <n v="8754979113"/>
  </r>
  <r>
    <x v="26"/>
    <x v="51"/>
    <x v="51"/>
    <x v="6"/>
    <n v="0"/>
    <n v="60"/>
    <s v=" "/>
    <n v="60"/>
    <s v="-"/>
    <x v="1"/>
    <s v="10/02/2023"/>
    <n v="111000614"/>
    <n v="791103770"/>
  </r>
  <r>
    <x v="27"/>
    <x v="35"/>
    <x v="35"/>
    <x v="9"/>
    <n v="25"/>
    <n v="35"/>
    <s v=" "/>
    <n v="35"/>
    <s v="-"/>
    <x v="1"/>
    <s v="10/01/2023"/>
    <n v="586006778876"/>
    <n v="586006778876"/>
  </r>
  <r>
    <x v="27"/>
    <x v="38"/>
    <x v="38"/>
    <x v="9"/>
    <n v="11"/>
    <n v="49"/>
    <s v=" "/>
    <n v="49"/>
    <s v="-"/>
    <x v="1"/>
    <s v="10/01/2023"/>
    <n v="586006778876"/>
    <n v="586006778876"/>
  </r>
  <r>
    <x v="27"/>
    <x v="20"/>
    <x v="20"/>
    <x v="3"/>
    <n v="12"/>
    <n v="48"/>
    <s v=" "/>
    <n v="48"/>
    <s v="-"/>
    <x v="1"/>
    <s v="10/12/2023"/>
    <n v="114000093"/>
    <n v="352031183"/>
  </r>
  <r>
    <x v="27"/>
    <x v="23"/>
    <x v="23"/>
    <x v="2"/>
    <n v="10"/>
    <n v="55"/>
    <s v=" "/>
    <n v="55"/>
    <s v="-"/>
    <x v="1"/>
    <s v="10/09/2023"/>
    <n v="111900659"/>
    <n v="8754979113"/>
  </r>
  <r>
    <x v="27"/>
    <x v="60"/>
    <x v="60"/>
    <x v="10"/>
    <n v="18"/>
    <n v="42"/>
    <s v=" "/>
    <n v="42"/>
    <s v="-"/>
    <x v="1"/>
    <s v="10/20/2023"/>
    <n v="113000023"/>
    <n v="586036363905"/>
  </r>
  <r>
    <x v="27"/>
    <x v="61"/>
    <x v="61"/>
    <x v="24"/>
    <n v="20"/>
    <n v="45"/>
    <s v=" "/>
    <n v="45"/>
    <s v="-"/>
    <x v="1"/>
    <s v="10/11/2023"/>
    <n v="307084211"/>
    <s v="0009508340025"/>
  </r>
  <r>
    <x v="27"/>
    <x v="40"/>
    <x v="40"/>
    <x v="11"/>
    <n v="5"/>
    <n v="35"/>
    <s v=" "/>
    <n v="35"/>
    <s v="-"/>
    <x v="1"/>
    <s v="10/01/2023"/>
    <n v="314977405"/>
    <n v="901205198"/>
  </r>
  <r>
    <x v="27"/>
    <x v="41"/>
    <x v="41"/>
    <x v="2"/>
    <n v="20"/>
    <n v="40"/>
    <s v=" "/>
    <n v="40"/>
    <s v="-"/>
    <x v="1"/>
    <s v="10/09/2023"/>
    <n v="111900659"/>
    <n v="8754979113"/>
  </r>
  <r>
    <x v="27"/>
    <x v="62"/>
    <x v="62"/>
    <x v="25"/>
    <n v="35"/>
    <n v="25"/>
    <s v=" "/>
    <n v="25"/>
    <s v="-"/>
    <x v="1"/>
    <s v="10/24/2023"/>
    <n v="314977133"/>
    <n v="2009789120"/>
  </r>
  <r>
    <x v="27"/>
    <x v="25"/>
    <x v="25"/>
    <x v="8"/>
    <n v="10"/>
    <n v="55"/>
    <s v=" "/>
    <n v="55"/>
    <s v="-"/>
    <x v="1"/>
    <s v="10/02/2023"/>
    <n v="111000614"/>
    <n v="982027275"/>
  </r>
  <r>
    <x v="28"/>
    <x v="63"/>
    <x v="63"/>
    <x v="2"/>
    <n v="13"/>
    <n v="47"/>
    <s v=" "/>
    <n v="47"/>
    <s v="-"/>
    <x v="1"/>
    <s v="10/09/2023"/>
    <n v="111900659"/>
    <n v="8754979113"/>
  </r>
  <r>
    <x v="28"/>
    <x v="54"/>
    <x v="54"/>
    <x v="19"/>
    <n v="10"/>
    <n v="50"/>
    <s v=" "/>
    <n v="50"/>
    <s v="-"/>
    <x v="1"/>
    <s v="10/04/2023"/>
    <n v="314977405"/>
    <n v="1800901526873"/>
  </r>
  <r>
    <x v="28"/>
    <x v="64"/>
    <x v="64"/>
    <x v="15"/>
    <n v="0"/>
    <n v="65"/>
    <s v=" "/>
    <n v="65"/>
    <s v="-"/>
    <x v="1"/>
    <s v="10/03/2023"/>
    <n v="111000614"/>
    <n v="667133828"/>
  </r>
  <r>
    <x v="28"/>
    <x v="65"/>
    <x v="65"/>
    <x v="26"/>
    <n v="20"/>
    <n v="45"/>
    <n v="10"/>
    <n v="55"/>
    <s v="-"/>
    <x v="1"/>
    <s v="10/02/2023"/>
    <m/>
    <m/>
  </r>
  <r>
    <x v="28"/>
    <x v="66"/>
    <x v="66"/>
    <x v="19"/>
    <n v="25"/>
    <n v="40"/>
    <s v=" "/>
    <n v="40"/>
    <s v="-"/>
    <x v="1"/>
    <s v="10/04/2023"/>
    <n v="314977405"/>
    <n v="1800901526873"/>
  </r>
  <r>
    <x v="28"/>
    <x v="67"/>
    <x v="67"/>
    <x v="19"/>
    <n v="30"/>
    <n v="35"/>
    <s v=" "/>
    <n v="35"/>
    <s v="-"/>
    <x v="1"/>
    <s v="10/04/2023"/>
    <n v="314977405"/>
    <n v="1800901526873"/>
  </r>
  <r>
    <x v="28"/>
    <x v="68"/>
    <x v="68"/>
    <x v="27"/>
    <n v="25"/>
    <n v="40"/>
    <n v="10"/>
    <n v="50"/>
    <s v="-"/>
    <x v="1"/>
    <s v="10/02/2023"/>
    <n v="111900659"/>
    <n v="5025887380"/>
  </r>
  <r>
    <x v="29"/>
    <x v="69"/>
    <x v="69"/>
    <x v="28"/>
    <n v="30"/>
    <n v="30"/>
    <s v=" "/>
    <n v="30"/>
    <s v="-"/>
    <x v="1"/>
    <s v="10/01/2023"/>
    <n v="314977133"/>
    <n v="2009446390"/>
  </r>
  <r>
    <x v="30"/>
    <x v="70"/>
    <x v="70"/>
    <x v="29"/>
    <n v="10"/>
    <n v="50"/>
    <s v=" "/>
    <n v="50"/>
    <s v="-"/>
    <x v="1"/>
    <s v="10/01/2023"/>
    <s v="071921891"/>
    <n v="4952187173"/>
  </r>
  <r>
    <x v="30"/>
    <x v="71"/>
    <x v="71"/>
    <x v="30"/>
    <n v="10"/>
    <n v="50"/>
    <s v=" "/>
    <n v="50"/>
    <s v="-"/>
    <x v="1"/>
    <s v="10/01/2023"/>
    <n v="111900659"/>
    <n v="1007239476"/>
  </r>
  <r>
    <x v="30"/>
    <x v="72"/>
    <x v="72"/>
    <x v="31"/>
    <n v="10"/>
    <n v="50"/>
    <s v=" "/>
    <n v="50"/>
    <s v="-"/>
    <x v="1"/>
    <s v="10/31/2023"/>
    <n v="111000614"/>
    <n v="1559897432"/>
  </r>
  <r>
    <x v="30"/>
    <x v="73"/>
    <x v="73"/>
    <x v="32"/>
    <n v="11"/>
    <n v="49"/>
    <s v=" "/>
    <n v="49"/>
    <s v="-"/>
    <x v="1"/>
    <s v="10/01/2023"/>
    <n v="256074974"/>
    <n v="7091445424"/>
  </r>
  <r>
    <x v="30"/>
    <x v="74"/>
    <x v="74"/>
    <x v="32"/>
    <n v="65"/>
    <n v="0"/>
    <s v=" "/>
    <n v="0"/>
    <s v="-"/>
    <x v="1"/>
    <s v="10/01/2023"/>
    <n v="256074974"/>
    <n v="7091445424"/>
  </r>
  <r>
    <x v="30"/>
    <x v="75"/>
    <x v="75"/>
    <x v="32"/>
    <n v="30"/>
    <n v="30"/>
    <s v=" "/>
    <n v="30"/>
    <s v="-"/>
    <x v="1"/>
    <s v="10/01/2023"/>
    <n v="256074974"/>
    <n v="7091445424"/>
  </r>
  <r>
    <x v="30"/>
    <x v="76"/>
    <x v="76"/>
    <x v="32"/>
    <n v="10"/>
    <n v="50"/>
    <s v=" "/>
    <n v="50"/>
    <s v="-"/>
    <x v="1"/>
    <s v="10/01/2023"/>
    <n v="256074974"/>
    <n v="7091445424"/>
  </r>
  <r>
    <x v="30"/>
    <x v="77"/>
    <x v="77"/>
    <x v="29"/>
    <n v="10"/>
    <n v="55"/>
    <n v="10"/>
    <n v="65"/>
    <s v="-"/>
    <x v="1"/>
    <s v="10/01/2023"/>
    <s v="071921891"/>
    <n v="4952187173"/>
  </r>
  <r>
    <x v="31"/>
    <x v="78"/>
    <x v="78"/>
    <x v="33"/>
    <n v="15"/>
    <n v="45"/>
    <s v=" "/>
    <n v="45"/>
    <s v="-"/>
    <x v="1"/>
    <s v="10/02/2023"/>
    <n v="111900659"/>
    <n v="3805508938"/>
  </r>
  <r>
    <x v="31"/>
    <x v="79"/>
    <x v="79"/>
    <x v="28"/>
    <n v="40"/>
    <n v="20"/>
    <s v=" "/>
    <n v="20"/>
    <s v="-"/>
    <x v="1"/>
    <s v="10/03/2023"/>
    <n v="314977133"/>
    <n v="2009446390"/>
  </r>
  <r>
    <x v="31"/>
    <x v="2"/>
    <x v="2"/>
    <x v="1"/>
    <n v="45"/>
    <n v="20"/>
    <s v=" "/>
    <n v="20"/>
    <s v="-"/>
    <x v="1"/>
    <s v="10/31/2023"/>
    <n v="111900659"/>
    <s v="0194510160"/>
  </r>
  <r>
    <x v="31"/>
    <x v="80"/>
    <x v="80"/>
    <x v="34"/>
    <n v="10"/>
    <n v="50"/>
    <s v=" "/>
    <n v="50"/>
    <s v="-"/>
    <x v="1"/>
    <s v="10/02/2023"/>
    <n v="314089681"/>
    <n v="225927393"/>
  </r>
  <r>
    <x v="31"/>
    <x v="81"/>
    <x v="81"/>
    <x v="33"/>
    <n v="15"/>
    <n v="50"/>
    <s v=" "/>
    <n v="50"/>
    <s v="-"/>
    <x v="1"/>
    <s v="10/02/2023"/>
    <n v="111900659"/>
    <n v="3805508938"/>
  </r>
  <r>
    <x v="31"/>
    <x v="3"/>
    <x v="3"/>
    <x v="1"/>
    <n v="60"/>
    <n v="0"/>
    <s v=" "/>
    <n v="0"/>
    <s v="-"/>
    <x v="1"/>
    <s v="10/31/2023"/>
    <n v="111900659"/>
    <s v="0194510160"/>
  </r>
  <r>
    <x v="31"/>
    <x v="82"/>
    <x v="82"/>
    <x v="35"/>
    <n v="35"/>
    <n v="30"/>
    <n v="10"/>
    <n v="40"/>
    <s v="-"/>
    <x v="1"/>
    <s v="10/02/2023"/>
    <n v="314977340"/>
    <s v="0002365982"/>
  </r>
  <r>
    <x v="31"/>
    <x v="83"/>
    <x v="83"/>
    <x v="36"/>
    <n v="15"/>
    <n v="45"/>
    <s v=" "/>
    <n v="45"/>
    <s v="-"/>
    <x v="1"/>
    <s v="10/31/2023"/>
    <n v="113010547"/>
    <s v="01089622"/>
  </r>
  <r>
    <x v="31"/>
    <x v="84"/>
    <x v="84"/>
    <x v="37"/>
    <n v="20"/>
    <n v="40"/>
    <s v=" "/>
    <n v="40"/>
    <s v="-"/>
    <x v="1"/>
    <s v="10/16/2023"/>
    <n v="314977405"/>
    <n v="1800900316243"/>
  </r>
  <r>
    <x v="31"/>
    <x v="85"/>
    <x v="85"/>
    <x v="38"/>
    <n v="10"/>
    <n v="55"/>
    <s v=" "/>
    <n v="55"/>
    <s v="-"/>
    <x v="1"/>
    <s v="10/02/2023"/>
    <n v="111900659"/>
    <n v="6443870164"/>
  </r>
  <r>
    <x v="31"/>
    <x v="11"/>
    <x v="11"/>
    <x v="4"/>
    <n v="32"/>
    <n v="33"/>
    <s v=" "/>
    <n v="33"/>
    <s v="-"/>
    <x v="1"/>
    <s v="10/26/2023"/>
    <m/>
    <m/>
  </r>
  <r>
    <x v="31"/>
    <x v="86"/>
    <x v="86"/>
    <x v="39"/>
    <n v="20"/>
    <n v="45"/>
    <s v=" "/>
    <n v="45"/>
    <s v="-"/>
    <x v="1"/>
    <s v="10/05/2023"/>
    <n v="111000614"/>
    <n v="502504270"/>
  </r>
  <r>
    <x v="31"/>
    <x v="87"/>
    <x v="87"/>
    <x v="40"/>
    <n v="10"/>
    <n v="55"/>
    <s v=" "/>
    <n v="55"/>
    <s v="-"/>
    <x v="1"/>
    <s v="10/02/2023"/>
    <n v="314977175"/>
    <n v="1800062621"/>
  </r>
  <r>
    <x v="31"/>
    <x v="88"/>
    <x v="88"/>
    <x v="41"/>
    <n v="10"/>
    <n v="50"/>
    <s v=" "/>
    <n v="50"/>
    <s v="-"/>
    <x v="1"/>
    <s v="10/03/2023"/>
    <n v="113000023"/>
    <n v="586034246778"/>
  </r>
  <r>
    <x v="31"/>
    <x v="89"/>
    <x v="89"/>
    <x v="33"/>
    <n v="22"/>
    <n v="43"/>
    <s v=" "/>
    <n v="43"/>
    <s v="-"/>
    <x v="1"/>
    <s v="10/02/2023"/>
    <n v="111900659"/>
    <n v="3805508938"/>
  </r>
  <r>
    <x v="31"/>
    <x v="90"/>
    <x v="90"/>
    <x v="42"/>
    <n v="35"/>
    <n v="30"/>
    <n v="10"/>
    <n v="40"/>
    <s v="-"/>
    <x v="1"/>
    <s v="10/04/2023"/>
    <n v="111900659"/>
    <n v="2415203955"/>
  </r>
  <r>
    <x v="31"/>
    <x v="91"/>
    <x v="91"/>
    <x v="43"/>
    <n v="5"/>
    <n v="55"/>
    <s v=" "/>
    <n v="55"/>
    <s v="-"/>
    <x v="1"/>
    <s v="10/04/2023"/>
    <n v="114993906"/>
    <s v="009165659357"/>
  </r>
  <r>
    <x v="31"/>
    <x v="92"/>
    <x v="92"/>
    <x v="44"/>
    <n v="15"/>
    <n v="50"/>
    <s v=" "/>
    <n v="50"/>
    <s v="-"/>
    <x v="1"/>
    <s v="10/02/2023"/>
    <n v="111000025"/>
    <n v="488106198399"/>
  </r>
  <r>
    <x v="31"/>
    <x v="93"/>
    <x v="93"/>
    <x v="45"/>
    <n v="25"/>
    <n v="35"/>
    <s v=" "/>
    <n v="35"/>
    <s v="-"/>
    <x v="1"/>
    <s v="10/02/2023"/>
    <n v="314977405"/>
    <n v="1800900913423"/>
  </r>
  <r>
    <x v="31"/>
    <x v="94"/>
    <x v="94"/>
    <x v="24"/>
    <n v="25"/>
    <n v="35"/>
    <s v=" "/>
    <n v="35"/>
    <s v="-"/>
    <x v="1"/>
    <s v="10/02/2023"/>
    <n v="307084211"/>
    <s v="0009508340025"/>
  </r>
  <r>
    <x v="31"/>
    <x v="95"/>
    <x v="79"/>
    <x v="31"/>
    <n v="36"/>
    <n v="24"/>
    <s v=" "/>
    <n v="24"/>
    <s v="-"/>
    <x v="1"/>
    <s v="10/31/2023"/>
    <n v="111000614"/>
    <n v="1559897432"/>
  </r>
  <r>
    <x v="31"/>
    <x v="96"/>
    <x v="95"/>
    <x v="46"/>
    <n v="15"/>
    <n v="45"/>
    <s v=" "/>
    <n v="45"/>
    <s v="-"/>
    <x v="1"/>
    <s v="10/02/2023"/>
    <n v="111900659"/>
    <n v="2232144119"/>
  </r>
  <r>
    <x v="31"/>
    <x v="17"/>
    <x v="17"/>
    <x v="6"/>
    <n v="0"/>
    <n v="65"/>
    <s v=" "/>
    <n v="65"/>
    <s v="-"/>
    <x v="1"/>
    <s v="10/20/2023"/>
    <n v="111000614"/>
    <n v="791103770"/>
  </r>
  <r>
    <x v="31"/>
    <x v="97"/>
    <x v="96"/>
    <x v="47"/>
    <n v="40"/>
    <n v="25"/>
    <s v=" "/>
    <n v="25"/>
    <s v="-"/>
    <x v="1"/>
    <s v="10/02/2023"/>
    <n v="314088572"/>
    <n v="1588864"/>
  </r>
  <r>
    <x v="31"/>
    <x v="98"/>
    <x v="16"/>
    <x v="48"/>
    <n v="25"/>
    <n v="35"/>
    <s v=" "/>
    <n v="35"/>
    <s v="-"/>
    <x v="1"/>
    <s v="10/31/2023"/>
    <n v="314977340"/>
    <n v="2358912"/>
  </r>
  <r>
    <x v="31"/>
    <x v="99"/>
    <x v="97"/>
    <x v="49"/>
    <n v="10"/>
    <n v="50"/>
    <s v=" "/>
    <n v="50"/>
    <s v="-"/>
    <x v="1"/>
    <s v="10/02/2023"/>
    <n v="111000025"/>
    <n v="488113380857"/>
  </r>
  <r>
    <x v="31"/>
    <x v="100"/>
    <x v="98"/>
    <x v="47"/>
    <n v="0"/>
    <n v="65"/>
    <s v=" "/>
    <n v="65"/>
    <s v="-"/>
    <x v="1"/>
    <s v="10/02/2023"/>
    <n v="314088572"/>
    <n v="1588864"/>
  </r>
  <r>
    <x v="32"/>
    <x v="101"/>
    <x v="99"/>
    <x v="13"/>
    <n v="30"/>
    <n v="35"/>
    <s v=" "/>
    <n v="35"/>
    <s v="-"/>
    <x v="1"/>
    <s v="10/03/2023"/>
    <m/>
    <m/>
  </r>
  <r>
    <x v="32"/>
    <x v="102"/>
    <x v="100"/>
    <x v="33"/>
    <n v="0"/>
    <n v="60"/>
    <s v=" "/>
    <n v="60"/>
    <s v="-"/>
    <x v="1"/>
    <s v="10/03/2023"/>
    <n v="111900659"/>
    <n v="3805508938"/>
  </r>
  <r>
    <x v="32"/>
    <x v="103"/>
    <x v="101"/>
    <x v="34"/>
    <n v="20"/>
    <n v="45"/>
    <s v=" "/>
    <n v="45"/>
    <s v="-"/>
    <x v="1"/>
    <s v="10/03/2023"/>
    <n v="314089681"/>
    <n v="225927393"/>
  </r>
  <r>
    <x v="32"/>
    <x v="52"/>
    <x v="52"/>
    <x v="17"/>
    <n v="16"/>
    <n v="49"/>
    <s v=" "/>
    <n v="49"/>
    <s v="-"/>
    <x v="1"/>
    <s v="10/15/2023"/>
    <s v="071921891"/>
    <n v="4955495358"/>
  </r>
  <r>
    <x v="32"/>
    <x v="104"/>
    <x v="102"/>
    <x v="50"/>
    <n v="60"/>
    <n v="0"/>
    <s v=" "/>
    <n v="0"/>
    <s v="-"/>
    <x v="1"/>
    <s v="10/03/2023"/>
    <n v="121042882"/>
    <n v="7518769067"/>
  </r>
  <r>
    <x v="32"/>
    <x v="30"/>
    <x v="30"/>
    <x v="2"/>
    <n v="5"/>
    <n v="60"/>
    <s v=" "/>
    <n v="60"/>
    <s v="-"/>
    <x v="1"/>
    <s v="10/09/2023"/>
    <n v="111900659"/>
    <n v="8754979113"/>
  </r>
  <r>
    <x v="32"/>
    <x v="105"/>
    <x v="103"/>
    <x v="31"/>
    <n v="20"/>
    <n v="40"/>
    <s v=" "/>
    <n v="40"/>
    <s v="-"/>
    <x v="1"/>
    <s v="10/31/2023"/>
    <n v="111000614"/>
    <n v="1559897432"/>
  </r>
  <r>
    <x v="32"/>
    <x v="106"/>
    <x v="104"/>
    <x v="51"/>
    <n v="10"/>
    <n v="50"/>
    <s v=" "/>
    <n v="50"/>
    <s v="-"/>
    <x v="1"/>
    <s v="10/03/2023"/>
    <n v="314977104"/>
    <n v="569956"/>
  </r>
  <r>
    <x v="32"/>
    <x v="107"/>
    <x v="105"/>
    <x v="52"/>
    <n v="21"/>
    <n v="44"/>
    <s v=" "/>
    <n v="44"/>
    <s v="-"/>
    <x v="1"/>
    <s v="10/31/2023"/>
    <n v="314089681"/>
    <n v="199140275"/>
  </r>
  <r>
    <x v="32"/>
    <x v="64"/>
    <x v="64"/>
    <x v="15"/>
    <n v="0"/>
    <n v="65"/>
    <s v=" "/>
    <n v="65"/>
    <s v="-"/>
    <x v="1"/>
    <s v="10/03/2023"/>
    <n v="111000614"/>
    <n v="667133828"/>
  </r>
  <r>
    <x v="32"/>
    <x v="108"/>
    <x v="106"/>
    <x v="53"/>
    <n v="20"/>
    <n v="40"/>
    <s v=" "/>
    <n v="40"/>
    <s v="-"/>
    <x v="1"/>
    <s v="10/03/2023"/>
    <n v="111000614"/>
    <n v="112335069"/>
  </r>
  <r>
    <x v="32"/>
    <x v="47"/>
    <x v="47"/>
    <x v="3"/>
    <n v="15"/>
    <n v="50"/>
    <s v=" "/>
    <n v="50"/>
    <s v="-"/>
    <x v="1"/>
    <s v="10/12/2023"/>
    <n v="114000093"/>
    <n v="352031183"/>
  </r>
  <r>
    <x v="32"/>
    <x v="109"/>
    <x v="107"/>
    <x v="30"/>
    <n v="21"/>
    <n v="19"/>
    <s v=" "/>
    <n v="19"/>
    <s v="-"/>
    <x v="1"/>
    <s v="10/31/2023"/>
    <n v="111900659"/>
    <n v="1007239476"/>
  </r>
  <r>
    <x v="32"/>
    <x v="110"/>
    <x v="108"/>
    <x v="54"/>
    <n v="20"/>
    <n v="40"/>
    <s v=" "/>
    <n v="40"/>
    <s v="-"/>
    <x v="1"/>
    <s v="10/31/2023"/>
    <n v="114000093"/>
    <n v="584219511"/>
  </r>
  <r>
    <x v="32"/>
    <x v="111"/>
    <x v="109"/>
    <x v="36"/>
    <n v="15"/>
    <n v="50"/>
    <s v=" "/>
    <n v="50"/>
    <s v="-"/>
    <x v="1"/>
    <s v="10/31/2023"/>
    <n v="113010547"/>
    <s v="01089622"/>
  </r>
  <r>
    <x v="32"/>
    <x v="112"/>
    <x v="110"/>
    <x v="52"/>
    <n v="10"/>
    <n v="50"/>
    <s v=" "/>
    <n v="50"/>
    <s v="-"/>
    <x v="1"/>
    <s v="10/31/2023"/>
    <n v="314089681"/>
    <n v="199140275"/>
  </r>
  <r>
    <x v="32"/>
    <x v="113"/>
    <x v="111"/>
    <x v="54"/>
    <n v="15"/>
    <n v="50"/>
    <s v=" "/>
    <n v="50"/>
    <s v="-"/>
    <x v="1"/>
    <s v="10/31/2023"/>
    <n v="114000093"/>
    <n v="584219511"/>
  </r>
  <r>
    <x v="32"/>
    <x v="114"/>
    <x v="16"/>
    <x v="36"/>
    <n v="25"/>
    <n v="35"/>
    <s v=" "/>
    <n v="35"/>
    <s v="-"/>
    <x v="1"/>
    <s v="10/31/2023"/>
    <n v="113010547"/>
    <s v="01089622"/>
  </r>
  <r>
    <x v="32"/>
    <x v="115"/>
    <x v="112"/>
    <x v="55"/>
    <n v="17"/>
    <n v="43"/>
    <s v=" "/>
    <n v="43"/>
    <s v="-"/>
    <x v="1"/>
    <s v="10/05/2023"/>
    <n v="314977405"/>
    <n v="1800901265147"/>
  </r>
  <r>
    <x v="32"/>
    <x v="116"/>
    <x v="113"/>
    <x v="56"/>
    <n v="13"/>
    <n v="47"/>
    <s v=" "/>
    <n v="47"/>
    <s v="-"/>
    <x v="1"/>
    <s v="10/03/2023"/>
    <n v="114926012"/>
    <n v="1104269"/>
  </r>
  <r>
    <x v="32"/>
    <x v="117"/>
    <x v="114"/>
    <x v="57"/>
    <n v="16"/>
    <n v="44"/>
    <s v=" "/>
    <n v="44"/>
    <s v="-"/>
    <x v="1"/>
    <s v="10/31/2023"/>
    <n v="111000614"/>
    <n v="356579018"/>
  </r>
  <r>
    <x v="32"/>
    <x v="118"/>
    <x v="115"/>
    <x v="36"/>
    <n v="15"/>
    <n v="45"/>
    <s v=" "/>
    <n v="45"/>
    <s v="-"/>
    <x v="1"/>
    <s v="10/31/2023"/>
    <n v="113010547"/>
    <s v="01089622"/>
  </r>
  <r>
    <x v="32"/>
    <x v="119"/>
    <x v="116"/>
    <x v="58"/>
    <n v="20"/>
    <n v="45"/>
    <s v=" "/>
    <n v="45"/>
    <s v="-"/>
    <x v="1"/>
    <s v="10/03/2023"/>
    <n v="314977405"/>
    <n v="900931267"/>
  </r>
  <r>
    <x v="32"/>
    <x v="12"/>
    <x v="12"/>
    <x v="2"/>
    <n v="11"/>
    <n v="49"/>
    <s v=" "/>
    <n v="49"/>
    <s v="-"/>
    <x v="1"/>
    <s v="10/09/2023"/>
    <n v="111900659"/>
    <n v="8754979113"/>
  </r>
  <r>
    <x v="32"/>
    <x v="120"/>
    <x v="117"/>
    <x v="58"/>
    <n v="12"/>
    <n v="53"/>
    <s v=" "/>
    <n v="53"/>
    <s v="-"/>
    <x v="1"/>
    <s v="10/03/2023"/>
    <n v="314977405"/>
    <n v="900931267"/>
  </r>
  <r>
    <x v="32"/>
    <x v="121"/>
    <x v="118"/>
    <x v="59"/>
    <n v="30"/>
    <n v="30"/>
    <s v=" "/>
    <n v="30"/>
    <s v="-"/>
    <x v="1"/>
    <s v="10/15/2023"/>
    <n v="314977405"/>
    <n v="1800900986953"/>
  </r>
  <r>
    <x v="32"/>
    <x v="122"/>
    <x v="119"/>
    <x v="43"/>
    <n v="12"/>
    <n v="53"/>
    <s v=" "/>
    <n v="53"/>
    <s v="-"/>
    <x v="1"/>
    <s v="10/04/2023"/>
    <n v="114993906"/>
    <s v="009165659357"/>
  </r>
  <r>
    <x v="32"/>
    <x v="33"/>
    <x v="33"/>
    <x v="13"/>
    <n v="11"/>
    <n v="54"/>
    <s v=" "/>
    <n v="54"/>
    <s v="-"/>
    <x v="1"/>
    <s v="10/03/2023"/>
    <m/>
    <m/>
  </r>
  <r>
    <x v="32"/>
    <x v="123"/>
    <x v="120"/>
    <x v="60"/>
    <n v="11"/>
    <n v="54"/>
    <s v=" "/>
    <n v="54"/>
    <s v="-"/>
    <x v="1"/>
    <s v="10/03/2023"/>
    <s v="044000804"/>
    <n v="9621099177842"/>
  </r>
  <r>
    <x v="32"/>
    <x v="124"/>
    <x v="121"/>
    <x v="61"/>
    <n v="5"/>
    <n v="60"/>
    <s v=" "/>
    <n v="60"/>
    <s v="-"/>
    <x v="1"/>
    <s v="10/04/2023"/>
    <n v="111900659"/>
    <n v="8568595873"/>
  </r>
  <r>
    <x v="32"/>
    <x v="125"/>
    <x v="78"/>
    <x v="62"/>
    <n v="15"/>
    <n v="45"/>
    <s v=" "/>
    <n v="45"/>
    <s v="-"/>
    <x v="1"/>
    <s v="10/03/2023"/>
    <m/>
    <m/>
  </r>
  <r>
    <x v="32"/>
    <x v="126"/>
    <x v="122"/>
    <x v="60"/>
    <n v="10"/>
    <n v="55"/>
    <s v=" "/>
    <n v="55"/>
    <s v="-"/>
    <x v="1"/>
    <s v="10/03/2023"/>
    <s v="044000804"/>
    <n v="9621099177842"/>
  </r>
  <r>
    <x v="32"/>
    <x v="18"/>
    <x v="18"/>
    <x v="2"/>
    <n v="5"/>
    <n v="65"/>
    <s v=" "/>
    <n v="65"/>
    <s v="-"/>
    <x v="1"/>
    <s v="10/09/2023"/>
    <n v="111900659"/>
    <n v="8754979113"/>
  </r>
  <r>
    <x v="32"/>
    <x v="127"/>
    <x v="123"/>
    <x v="55"/>
    <n v="20"/>
    <n v="45"/>
    <s v=" "/>
    <n v="45"/>
    <s v="-"/>
    <x v="1"/>
    <s v="10/05/2023"/>
    <n v="314977405"/>
    <n v="1800901265147"/>
  </r>
  <r>
    <x v="32"/>
    <x v="46"/>
    <x v="46"/>
    <x v="15"/>
    <n v="20"/>
    <n v="45"/>
    <s v=" "/>
    <n v="45"/>
    <s v="-"/>
    <x v="1"/>
    <s v="10/17/2023"/>
    <n v="111000614"/>
    <n v="667133828"/>
  </r>
  <r>
    <x v="32"/>
    <x v="128"/>
    <x v="124"/>
    <x v="51"/>
    <n v="25"/>
    <n v="40"/>
    <s v=" "/>
    <n v="40"/>
    <s v="-"/>
    <x v="1"/>
    <s v="10/03/2023"/>
    <n v="314977104"/>
    <n v="569956"/>
  </r>
  <r>
    <x v="32"/>
    <x v="129"/>
    <x v="125"/>
    <x v="47"/>
    <n v="15"/>
    <n v="50"/>
    <s v=" "/>
    <n v="50"/>
    <s v="-"/>
    <x v="1"/>
    <s v="10/03/2023"/>
    <n v="314088572"/>
    <n v="1588864"/>
  </r>
  <r>
    <x v="32"/>
    <x v="130"/>
    <x v="126"/>
    <x v="21"/>
    <n v="15"/>
    <n v="50"/>
    <n v="10"/>
    <n v="60"/>
    <s v="-"/>
    <x v="1"/>
    <s v="10/03/2023"/>
    <n v="114000093"/>
    <n v="59251900"/>
  </r>
  <r>
    <x v="32"/>
    <x v="131"/>
    <x v="127"/>
    <x v="57"/>
    <n v="50"/>
    <n v="10"/>
    <s v=" "/>
    <n v="10"/>
    <s v="-"/>
    <x v="1"/>
    <s v="10/31/2023"/>
    <n v="111000614"/>
    <n v="356579018"/>
  </r>
  <r>
    <x v="32"/>
    <x v="132"/>
    <x v="128"/>
    <x v="54"/>
    <n v="10"/>
    <n v="55"/>
    <s v=" "/>
    <n v="55"/>
    <s v="-"/>
    <x v="1"/>
    <s v="10/31/2023"/>
    <n v="114000093"/>
    <n v="584219511"/>
  </r>
  <r>
    <x v="33"/>
    <x v="133"/>
    <x v="37"/>
    <x v="37"/>
    <n v="15"/>
    <n v="50"/>
    <n v="10"/>
    <n v="60"/>
    <s v="-"/>
    <x v="1"/>
    <s v="10/16/2023"/>
    <n v="314977405"/>
    <n v="1800900316243"/>
  </r>
  <r>
    <x v="33"/>
    <x v="134"/>
    <x v="129"/>
    <x v="63"/>
    <n v="25"/>
    <n v="35"/>
    <s v=" "/>
    <n v="35"/>
    <s v="-"/>
    <x v="1"/>
    <s v="10/11/2023"/>
    <n v="314977405"/>
    <n v="1800900435064"/>
  </r>
  <r>
    <x v="33"/>
    <x v="135"/>
    <x v="130"/>
    <x v="64"/>
    <n v="35"/>
    <n v="25"/>
    <s v=" "/>
    <n v="25"/>
    <s v="-"/>
    <x v="1"/>
    <s v="10/29/2023"/>
    <n v="314977405"/>
    <n v="1800901050415"/>
  </r>
  <r>
    <x v="33"/>
    <x v="136"/>
    <x v="131"/>
    <x v="40"/>
    <n v="11"/>
    <n v="49"/>
    <s v=" "/>
    <n v="49"/>
    <s v="-"/>
    <x v="1"/>
    <s v="10/04/2023"/>
    <n v="314977175"/>
    <n v="1800062621"/>
  </r>
  <r>
    <x v="33"/>
    <x v="137"/>
    <x v="132"/>
    <x v="30"/>
    <n v="17"/>
    <n v="48"/>
    <s v=" "/>
    <n v="48"/>
    <s v="-"/>
    <x v="1"/>
    <s v="10/31/2023"/>
    <n v="111900659"/>
    <n v="1007239476"/>
  </r>
  <r>
    <x v="33"/>
    <x v="138"/>
    <x v="133"/>
    <x v="48"/>
    <n v="15"/>
    <n v="50"/>
    <s v=" "/>
    <n v="50"/>
    <s v="-"/>
    <x v="1"/>
    <s v="10/31/2023"/>
    <n v="314977340"/>
    <n v="2358912"/>
  </r>
  <r>
    <x v="33"/>
    <x v="29"/>
    <x v="29"/>
    <x v="11"/>
    <n v="20"/>
    <n v="40"/>
    <s v=" "/>
    <n v="40"/>
    <s v="-"/>
    <x v="1"/>
    <s v="10/04/2023"/>
    <n v="314977405"/>
    <n v="901205198"/>
  </r>
  <r>
    <x v="33"/>
    <x v="139"/>
    <x v="134"/>
    <x v="42"/>
    <n v="15"/>
    <n v="45"/>
    <s v=" "/>
    <n v="45"/>
    <s v="-"/>
    <x v="1"/>
    <s v="10/04/2023"/>
    <n v="111900659"/>
    <n v="2415203955"/>
  </r>
  <r>
    <x v="33"/>
    <x v="13"/>
    <x v="13"/>
    <x v="3"/>
    <n v="6"/>
    <n v="54"/>
    <s v=" "/>
    <n v="54"/>
    <s v="-"/>
    <x v="1"/>
    <s v="10/12/2023"/>
    <n v="114000093"/>
    <n v="352031183"/>
  </r>
  <r>
    <x v="33"/>
    <x v="140"/>
    <x v="135"/>
    <x v="65"/>
    <n v="10"/>
    <n v="50"/>
    <s v=" "/>
    <n v="50"/>
    <s v="-"/>
    <x v="1"/>
    <s v="10/30/2023"/>
    <n v="314977175"/>
    <n v="288940"/>
  </r>
  <r>
    <x v="33"/>
    <x v="141"/>
    <x v="136"/>
    <x v="66"/>
    <n v="17"/>
    <n v="48"/>
    <s v=" "/>
    <n v="48"/>
    <s v="-"/>
    <x v="1"/>
    <s v="10/30/2023"/>
    <n v="314977405"/>
    <n v="1830900455112"/>
  </r>
  <r>
    <x v="33"/>
    <x v="142"/>
    <x v="137"/>
    <x v="54"/>
    <n v="20"/>
    <n v="40"/>
    <s v=" "/>
    <n v="40"/>
    <s v="-"/>
    <x v="1"/>
    <s v="10/31/2023"/>
    <n v="114000093"/>
    <n v="584219511"/>
  </r>
  <r>
    <x v="33"/>
    <x v="143"/>
    <x v="138"/>
    <x v="37"/>
    <n v="20"/>
    <n v="40"/>
    <n v="10"/>
    <n v="50"/>
    <s v="-"/>
    <x v="1"/>
    <s v="10/16/2023"/>
    <n v="314977405"/>
    <n v="1800900316243"/>
  </r>
  <r>
    <x v="33"/>
    <x v="144"/>
    <x v="37"/>
    <x v="30"/>
    <n v="4"/>
    <n v="36"/>
    <s v=" "/>
    <n v="36"/>
    <s v="-"/>
    <x v="1"/>
    <s v="10/31/2023"/>
    <n v="111900659"/>
    <n v="1007239476"/>
  </r>
  <r>
    <x v="33"/>
    <x v="145"/>
    <x v="139"/>
    <x v="67"/>
    <n v="7"/>
    <n v="53"/>
    <s v=" "/>
    <n v="53"/>
    <s v="-"/>
    <x v="1"/>
    <s v="10/04/2023"/>
    <n v="314977405"/>
    <n v="1800901554698"/>
  </r>
  <r>
    <x v="33"/>
    <x v="146"/>
    <x v="140"/>
    <x v="47"/>
    <n v="20"/>
    <n v="45"/>
    <s v=" "/>
    <n v="45"/>
    <s v="-"/>
    <x v="1"/>
    <s v="10/04/2023"/>
    <n v="314088572"/>
    <n v="1588864"/>
  </r>
  <r>
    <x v="33"/>
    <x v="147"/>
    <x v="141"/>
    <x v="11"/>
    <n v="38"/>
    <n v="22"/>
    <s v=" "/>
    <n v="22"/>
    <s v="-"/>
    <x v="1"/>
    <s v="10/04/2023"/>
    <n v="314977405"/>
    <n v="901205198"/>
  </r>
  <r>
    <x v="33"/>
    <x v="148"/>
    <x v="142"/>
    <x v="68"/>
    <n v="20"/>
    <n v="45"/>
    <s v=" "/>
    <n v="45"/>
    <s v="-"/>
    <x v="1"/>
    <s v="10/04/2023"/>
    <n v="314977298"/>
    <n v="1810039239"/>
  </r>
  <r>
    <x v="33"/>
    <x v="149"/>
    <x v="143"/>
    <x v="69"/>
    <n v="16"/>
    <n v="44"/>
    <s v=" "/>
    <n v="44"/>
    <s v="-"/>
    <x v="1"/>
    <s v="10/04/2023"/>
    <n v="111000614"/>
    <n v="876677332"/>
  </r>
  <r>
    <x v="33"/>
    <x v="150"/>
    <x v="144"/>
    <x v="67"/>
    <n v="30"/>
    <n v="30"/>
    <s v=" "/>
    <n v="30"/>
    <s v="-"/>
    <x v="1"/>
    <s v="10/04/2023"/>
    <n v="314977405"/>
    <n v="1800901554698"/>
  </r>
  <r>
    <x v="33"/>
    <x v="151"/>
    <x v="145"/>
    <x v="70"/>
    <n v="15"/>
    <n v="45"/>
    <s v=" "/>
    <n v="45"/>
    <s v="-"/>
    <x v="1"/>
    <s v="10/04/2023"/>
    <n v="111000614"/>
    <n v="637882736"/>
  </r>
  <r>
    <x v="33"/>
    <x v="152"/>
    <x v="146"/>
    <x v="65"/>
    <n v="6"/>
    <n v="59"/>
    <s v=" "/>
    <n v="59"/>
    <s v="-"/>
    <x v="1"/>
    <s v="10/30/2023"/>
    <n v="314977175"/>
    <n v="288940"/>
  </r>
  <r>
    <x v="33"/>
    <x v="153"/>
    <x v="147"/>
    <x v="30"/>
    <n v="20"/>
    <n v="20"/>
    <s v=" "/>
    <n v="20"/>
    <s v="-"/>
    <x v="1"/>
    <s v="10/31/2023"/>
    <n v="111900659"/>
    <n v="1007239476"/>
  </r>
  <r>
    <x v="33"/>
    <x v="154"/>
    <x v="148"/>
    <x v="57"/>
    <n v="22"/>
    <n v="38"/>
    <s v=" "/>
    <n v="38"/>
    <s v="-"/>
    <x v="1"/>
    <s v="10/31/2023"/>
    <n v="111000614"/>
    <n v="356579018"/>
  </r>
  <r>
    <x v="33"/>
    <x v="155"/>
    <x v="149"/>
    <x v="54"/>
    <n v="21"/>
    <n v="39"/>
    <s v=" "/>
    <n v="39"/>
    <s v="-"/>
    <x v="1"/>
    <s v="10/31/2023"/>
    <n v="114000093"/>
    <n v="584219511"/>
  </r>
  <r>
    <x v="33"/>
    <x v="59"/>
    <x v="59"/>
    <x v="23"/>
    <n v="35"/>
    <n v="30"/>
    <s v=" "/>
    <n v="30"/>
    <s v="-"/>
    <x v="1"/>
    <s v="10/10/2023"/>
    <m/>
    <m/>
  </r>
  <r>
    <x v="33"/>
    <x v="156"/>
    <x v="150"/>
    <x v="71"/>
    <n v="36"/>
    <n v="24"/>
    <s v=" "/>
    <n v="24"/>
    <s v="-"/>
    <x v="1"/>
    <s v="10/30/2023"/>
    <m/>
    <m/>
  </r>
  <r>
    <x v="33"/>
    <x v="61"/>
    <x v="61"/>
    <x v="24"/>
    <n v="20"/>
    <n v="45"/>
    <s v=" "/>
    <n v="45"/>
    <s v="-"/>
    <x v="1"/>
    <s v="10/11/2023"/>
    <n v="307084211"/>
    <s v="0009508340025"/>
  </r>
  <r>
    <x v="33"/>
    <x v="157"/>
    <x v="151"/>
    <x v="72"/>
    <n v="20"/>
    <n v="45"/>
    <s v=" "/>
    <n v="45"/>
    <s v="-"/>
    <x v="1"/>
    <s v="10/13/2023"/>
    <n v="314977405"/>
    <n v="1000900027427"/>
  </r>
  <r>
    <x v="33"/>
    <x v="16"/>
    <x v="16"/>
    <x v="5"/>
    <n v="20"/>
    <n v="40"/>
    <s v=" "/>
    <n v="40"/>
    <s v="-"/>
    <x v="1"/>
    <s v="10/30/2023"/>
    <s v="071000013"/>
    <n v="1110027356722"/>
  </r>
  <r>
    <x v="33"/>
    <x v="158"/>
    <x v="152"/>
    <x v="58"/>
    <n v="20"/>
    <n v="45"/>
    <s v=" "/>
    <n v="45"/>
    <s v="-"/>
    <x v="1"/>
    <s v="10/04/2023"/>
    <n v="314977405"/>
    <n v="900931267"/>
  </r>
  <r>
    <x v="33"/>
    <x v="159"/>
    <x v="153"/>
    <x v="64"/>
    <n v="15"/>
    <n v="45"/>
    <s v=" "/>
    <n v="45"/>
    <s v="-"/>
    <x v="1"/>
    <s v="10/29/2023"/>
    <n v="314977405"/>
    <n v="1800901050415"/>
  </r>
  <r>
    <x v="33"/>
    <x v="160"/>
    <x v="154"/>
    <x v="35"/>
    <n v="10"/>
    <n v="50"/>
    <s v=" "/>
    <n v="50"/>
    <s v="-"/>
    <x v="1"/>
    <s v="10/28/2023"/>
    <n v="314977340"/>
    <s v="0002365982"/>
  </r>
  <r>
    <x v="33"/>
    <x v="161"/>
    <x v="155"/>
    <x v="57"/>
    <n v="30"/>
    <n v="30"/>
    <s v=" "/>
    <n v="30"/>
    <s v="-"/>
    <x v="1"/>
    <s v="10/31/2023"/>
    <n v="111000614"/>
    <n v="356579018"/>
  </r>
  <r>
    <x v="33"/>
    <x v="162"/>
    <x v="156"/>
    <x v="20"/>
    <n v="30"/>
    <n v="30"/>
    <s v=" "/>
    <n v="30"/>
    <s v="-"/>
    <x v="1"/>
    <s v="10/06/2023"/>
    <n v="314089681"/>
    <n v="188736177"/>
  </r>
  <r>
    <x v="33"/>
    <x v="163"/>
    <x v="157"/>
    <x v="47"/>
    <n v="30"/>
    <n v="35"/>
    <n v="10"/>
    <n v="45"/>
    <s v="-"/>
    <x v="1"/>
    <s v="10/04/2023"/>
    <n v="314088572"/>
    <n v="1588864"/>
  </r>
  <r>
    <x v="33"/>
    <x v="164"/>
    <x v="158"/>
    <x v="73"/>
    <n v="30"/>
    <n v="30"/>
    <s v=" "/>
    <n v="30"/>
    <s v="-"/>
    <x v="1"/>
    <s v="10/04/2023"/>
    <n v="114000093"/>
    <n v="591108441"/>
  </r>
  <r>
    <x v="33"/>
    <x v="165"/>
    <x v="159"/>
    <x v="34"/>
    <n v="15"/>
    <n v="45"/>
    <s v=" "/>
    <n v="45"/>
    <s v="-"/>
    <x v="1"/>
    <s v="10/04/2023"/>
    <n v="314089681"/>
    <n v="225927393"/>
  </r>
  <r>
    <x v="33"/>
    <x v="166"/>
    <x v="160"/>
    <x v="47"/>
    <n v="30"/>
    <n v="35"/>
    <s v=" "/>
    <n v="35"/>
    <s v="-"/>
    <x v="1"/>
    <s v="10/04/2023"/>
    <n v="314088572"/>
    <n v="1588864"/>
  </r>
  <r>
    <x v="33"/>
    <x v="167"/>
    <x v="161"/>
    <x v="20"/>
    <n v="35"/>
    <n v="40"/>
    <s v=" "/>
    <n v="40"/>
    <s v="-"/>
    <x v="1"/>
    <s v="10/06/2023"/>
    <n v="314089681"/>
    <n v="188736177"/>
  </r>
  <r>
    <x v="33"/>
    <x v="168"/>
    <x v="162"/>
    <x v="74"/>
    <n v="30"/>
    <n v="35"/>
    <s v=" "/>
    <n v="35"/>
    <s v="-"/>
    <x v="1"/>
    <s v="10/04/2023"/>
    <n v="111000614"/>
    <n v="613723318"/>
  </r>
  <r>
    <x v="33"/>
    <x v="169"/>
    <x v="163"/>
    <x v="75"/>
    <n v="20"/>
    <n v="45"/>
    <s v=" "/>
    <n v="45"/>
    <s v="-"/>
    <x v="1"/>
    <s v="10/09/2023"/>
    <n v="111900659"/>
    <n v="3138108349"/>
  </r>
  <r>
    <x v="33"/>
    <x v="170"/>
    <x v="164"/>
    <x v="25"/>
    <n v="0"/>
    <n v="65"/>
    <s v=" "/>
    <n v="65"/>
    <s v="-"/>
    <x v="1"/>
    <s v="10/11/2023"/>
    <n v="314977133"/>
    <n v="2009789120"/>
  </r>
  <r>
    <x v="33"/>
    <x v="171"/>
    <x v="165"/>
    <x v="21"/>
    <n v="10"/>
    <n v="55"/>
    <s v=" "/>
    <n v="55"/>
    <s v="-"/>
    <x v="1"/>
    <s v="10/04/2023"/>
    <n v="114000093"/>
    <n v="59251900"/>
  </r>
  <r>
    <x v="33"/>
    <x v="172"/>
    <x v="150"/>
    <x v="74"/>
    <n v="30"/>
    <n v="35"/>
    <n v="10"/>
    <n v="45"/>
    <s v="-"/>
    <x v="1"/>
    <s v="10/04/2023"/>
    <n v="111000614"/>
    <n v="613723318"/>
  </r>
  <r>
    <x v="34"/>
    <x v="173"/>
    <x v="166"/>
    <x v="22"/>
    <n v="20"/>
    <n v="45"/>
    <s v=" "/>
    <n v="45"/>
    <s v="-"/>
    <x v="1"/>
    <s v="10/10/2023"/>
    <n v="314977405"/>
    <n v="901598282"/>
  </r>
  <r>
    <x v="34"/>
    <x v="174"/>
    <x v="167"/>
    <x v="76"/>
    <n v="10"/>
    <n v="55"/>
    <s v=" "/>
    <n v="55"/>
    <s v="-"/>
    <x v="1"/>
    <s v="10/05/2023"/>
    <n v="314977104"/>
    <n v="589551"/>
  </r>
  <r>
    <x v="34"/>
    <x v="175"/>
    <x v="168"/>
    <x v="68"/>
    <n v="36"/>
    <n v="24"/>
    <s v=" "/>
    <n v="24"/>
    <s v="-"/>
    <x v="1"/>
    <s v="10/05/2023"/>
    <n v="314977298"/>
    <n v="1810039239"/>
  </r>
  <r>
    <x v="34"/>
    <x v="176"/>
    <x v="169"/>
    <x v="43"/>
    <n v="10"/>
    <n v="50"/>
    <s v=" "/>
    <n v="50"/>
    <s v="-"/>
    <x v="1"/>
    <s v="10/26/2023"/>
    <n v="114993906"/>
    <s v="009165659357"/>
  </r>
  <r>
    <x v="34"/>
    <x v="177"/>
    <x v="170"/>
    <x v="31"/>
    <n v="15"/>
    <n v="50"/>
    <s v=" "/>
    <n v="50"/>
    <s v="-"/>
    <x v="1"/>
    <s v="10/31/2023"/>
    <n v="111000614"/>
    <n v="1559897432"/>
  </r>
  <r>
    <x v="34"/>
    <x v="178"/>
    <x v="171"/>
    <x v="71"/>
    <n v="36"/>
    <n v="29"/>
    <s v=" "/>
    <n v="29"/>
    <s v="-"/>
    <x v="1"/>
    <s v="10/30/2023"/>
    <m/>
    <m/>
  </r>
  <r>
    <x v="34"/>
    <x v="179"/>
    <x v="172"/>
    <x v="25"/>
    <n v="10"/>
    <n v="50"/>
    <s v=" "/>
    <n v="50"/>
    <s v="-"/>
    <x v="1"/>
    <s v="10/11/2023"/>
    <n v="314977133"/>
    <n v="2009789120"/>
  </r>
  <r>
    <x v="34"/>
    <x v="180"/>
    <x v="173"/>
    <x v="58"/>
    <n v="25"/>
    <n v="40"/>
    <s v=" "/>
    <n v="40"/>
    <s v="-"/>
    <x v="1"/>
    <s v="10/05/2023"/>
    <n v="314977405"/>
    <n v="900931267"/>
  </r>
  <r>
    <x v="34"/>
    <x v="19"/>
    <x v="19"/>
    <x v="2"/>
    <n v="20"/>
    <n v="45"/>
    <s v=" "/>
    <n v="45"/>
    <s v="-"/>
    <x v="1"/>
    <s v="10/09/2023"/>
    <n v="111900659"/>
    <n v="8754979113"/>
  </r>
  <r>
    <x v="34"/>
    <x v="39"/>
    <x v="39"/>
    <x v="3"/>
    <n v="10"/>
    <n v="55"/>
    <s v=" "/>
    <n v="55"/>
    <s v="-"/>
    <x v="1"/>
    <s v="10/12/2023"/>
    <n v="114000093"/>
    <n v="352031183"/>
  </r>
  <r>
    <x v="34"/>
    <x v="181"/>
    <x v="174"/>
    <x v="77"/>
    <n v="0"/>
    <n v="65"/>
    <s v=" "/>
    <n v="65"/>
    <s v="-"/>
    <x v="1"/>
    <s v="10/31/2023"/>
    <s v="071921891"/>
    <n v="4952904048"/>
  </r>
  <r>
    <x v="34"/>
    <x v="182"/>
    <x v="175"/>
    <x v="22"/>
    <n v="35"/>
    <n v="30"/>
    <s v=" "/>
    <n v="30"/>
    <s v="-"/>
    <x v="1"/>
    <s v="10/10/2023"/>
    <n v="314977405"/>
    <n v="901598282"/>
  </r>
  <r>
    <x v="34"/>
    <x v="20"/>
    <x v="20"/>
    <x v="3"/>
    <n v="12"/>
    <n v="48"/>
    <s v=" "/>
    <n v="48"/>
    <s v="-"/>
    <x v="1"/>
    <s v="10/12/2023"/>
    <n v="114000093"/>
    <n v="352031183"/>
  </r>
  <r>
    <x v="34"/>
    <x v="183"/>
    <x v="176"/>
    <x v="78"/>
    <n v="10"/>
    <n v="55"/>
    <s v=" "/>
    <n v="55"/>
    <s v="-"/>
    <x v="1"/>
    <s v="10/05/2023"/>
    <n v="314977175"/>
    <n v="1800272855"/>
  </r>
  <r>
    <x v="34"/>
    <x v="23"/>
    <x v="23"/>
    <x v="2"/>
    <n v="10"/>
    <n v="55"/>
    <s v=" "/>
    <n v="55"/>
    <s v="-"/>
    <x v="1"/>
    <s v="10/09/2023"/>
    <n v="111900659"/>
    <n v="8754979113"/>
  </r>
  <r>
    <x v="34"/>
    <x v="9"/>
    <x v="9"/>
    <x v="3"/>
    <n v="20"/>
    <n v="40"/>
    <s v=" "/>
    <n v="40"/>
    <s v="-"/>
    <x v="1"/>
    <s v="10/12/2023"/>
    <n v="114000093"/>
    <n v="352031183"/>
  </r>
  <r>
    <x v="34"/>
    <x v="184"/>
    <x v="177"/>
    <x v="65"/>
    <n v="0"/>
    <n v="60"/>
    <s v=" "/>
    <n v="60"/>
    <s v="-"/>
    <x v="1"/>
    <s v="10/30/2023"/>
    <n v="314977175"/>
    <n v="288940"/>
  </r>
  <r>
    <x v="34"/>
    <x v="185"/>
    <x v="178"/>
    <x v="79"/>
    <n v="35"/>
    <n v="25"/>
    <s v=" "/>
    <n v="25"/>
    <s v="-"/>
    <x v="1"/>
    <s v="10/09/2023"/>
    <n v="314977405"/>
    <n v="1800901394915"/>
  </r>
  <r>
    <x v="34"/>
    <x v="186"/>
    <x v="179"/>
    <x v="31"/>
    <n v="31"/>
    <n v="29"/>
    <s v=" "/>
    <n v="29"/>
    <s v="-"/>
    <x v="1"/>
    <s v="10/31/2023"/>
    <n v="111000614"/>
    <n v="1559897432"/>
  </r>
  <r>
    <x v="34"/>
    <x v="187"/>
    <x v="180"/>
    <x v="34"/>
    <n v="16"/>
    <n v="44"/>
    <s v=" "/>
    <n v="44"/>
    <s v="-"/>
    <x v="1"/>
    <s v="10/05/2023"/>
    <n v="314089681"/>
    <n v="225927393"/>
  </r>
  <r>
    <x v="34"/>
    <x v="188"/>
    <x v="181"/>
    <x v="31"/>
    <n v="20"/>
    <n v="40"/>
    <s v=" "/>
    <n v="40"/>
    <s v="-"/>
    <x v="1"/>
    <s v="10/31/2023"/>
    <n v="111000614"/>
    <n v="1559897432"/>
  </r>
  <r>
    <x v="34"/>
    <x v="189"/>
    <x v="182"/>
    <x v="80"/>
    <n v="17"/>
    <n v="43"/>
    <s v=" "/>
    <n v="43"/>
    <s v="-"/>
    <x v="1"/>
    <s v="10/05/2023"/>
    <n v="111900659"/>
    <n v="8628015094"/>
  </r>
  <r>
    <x v="34"/>
    <x v="190"/>
    <x v="183"/>
    <x v="81"/>
    <n v="20"/>
    <n v="45"/>
    <s v=" "/>
    <n v="45"/>
    <s v="-"/>
    <x v="1"/>
    <s v="10/05/2023"/>
    <n v="111901056"/>
    <n v="1122756693"/>
  </r>
  <r>
    <x v="34"/>
    <x v="191"/>
    <x v="184"/>
    <x v="82"/>
    <n v="25"/>
    <n v="40"/>
    <s v=" "/>
    <n v="40"/>
    <s v="-"/>
    <x v="1"/>
    <s v="10/23/2023"/>
    <n v="111000614"/>
    <n v="834436966"/>
  </r>
  <r>
    <x v="34"/>
    <x v="6"/>
    <x v="6"/>
    <x v="2"/>
    <n v="20"/>
    <n v="40"/>
    <s v=" "/>
    <n v="40"/>
    <s v="-"/>
    <x v="1"/>
    <s v="10/09/2023"/>
    <n v="111900659"/>
    <n v="8754979113"/>
  </r>
  <r>
    <x v="34"/>
    <x v="192"/>
    <x v="185"/>
    <x v="31"/>
    <n v="20"/>
    <n v="40"/>
    <s v=" "/>
    <n v="40"/>
    <s v="-"/>
    <x v="1"/>
    <s v="10/31/2023"/>
    <n v="111000614"/>
    <n v="1559897432"/>
  </r>
  <r>
    <x v="34"/>
    <x v="193"/>
    <x v="186"/>
    <x v="70"/>
    <n v="15"/>
    <n v="45"/>
    <s v=" "/>
    <n v="45"/>
    <s v="-"/>
    <x v="1"/>
    <s v="10/05/2023"/>
    <n v="111000614"/>
    <n v="637882736"/>
  </r>
  <r>
    <x v="34"/>
    <x v="194"/>
    <x v="187"/>
    <x v="57"/>
    <n v="25"/>
    <n v="35"/>
    <s v=" "/>
    <n v="35"/>
    <s v="-"/>
    <x v="1"/>
    <s v="10/31/2023"/>
    <n v="111000614"/>
    <n v="356579018"/>
  </r>
  <r>
    <x v="34"/>
    <x v="195"/>
    <x v="188"/>
    <x v="59"/>
    <n v="0"/>
    <n v="60"/>
    <s v=" "/>
    <n v="60"/>
    <s v="-"/>
    <x v="1"/>
    <s v="10/15/2023"/>
    <n v="314977405"/>
    <n v="1800900986953"/>
  </r>
  <r>
    <x v="34"/>
    <x v="196"/>
    <x v="189"/>
    <x v="83"/>
    <n v="30"/>
    <n v="30"/>
    <s v=" "/>
    <n v="30"/>
    <s v="-"/>
    <x v="1"/>
    <s v="10/05/2023"/>
    <n v="314977405"/>
    <n v="1800900499734"/>
  </r>
  <r>
    <x v="34"/>
    <x v="197"/>
    <x v="190"/>
    <x v="81"/>
    <n v="15"/>
    <n v="50"/>
    <s v=" "/>
    <n v="50"/>
    <s v="-"/>
    <x v="1"/>
    <s v="10/05/2023"/>
    <n v="111901056"/>
    <n v="1122756693"/>
  </r>
  <r>
    <x v="34"/>
    <x v="198"/>
    <x v="191"/>
    <x v="31"/>
    <n v="30"/>
    <n v="30"/>
    <s v=" "/>
    <n v="30"/>
    <s v="-"/>
    <x v="1"/>
    <s v="10/31/2023"/>
    <n v="111000614"/>
    <n v="1559897432"/>
  </r>
  <r>
    <x v="34"/>
    <x v="199"/>
    <x v="192"/>
    <x v="84"/>
    <n v="15"/>
    <n v="45"/>
    <s v=" "/>
    <n v="45"/>
    <s v="-"/>
    <x v="1"/>
    <s v="10/05/2023"/>
    <m/>
    <m/>
  </r>
  <r>
    <x v="34"/>
    <x v="200"/>
    <x v="193"/>
    <x v="70"/>
    <n v="20"/>
    <n v="40"/>
    <s v=" "/>
    <n v="40"/>
    <s v="-"/>
    <x v="1"/>
    <s v="10/05/2023"/>
    <n v="111000614"/>
    <n v="637882736"/>
  </r>
  <r>
    <x v="34"/>
    <x v="75"/>
    <x v="75"/>
    <x v="32"/>
    <n v="30"/>
    <n v="30"/>
    <s v=" "/>
    <n v="30"/>
    <s v="-"/>
    <x v="0"/>
    <s v="10/15/2023"/>
    <n v="256074974"/>
    <n v="7091445424"/>
  </r>
  <r>
    <x v="34"/>
    <x v="201"/>
    <x v="194"/>
    <x v="45"/>
    <n v="30"/>
    <n v="30"/>
    <s v=" "/>
    <n v="30"/>
    <s v="-"/>
    <x v="1"/>
    <s v="10/10/2023"/>
    <n v="314977405"/>
    <n v="1800900913423"/>
  </r>
  <r>
    <x v="34"/>
    <x v="202"/>
    <x v="195"/>
    <x v="50"/>
    <n v="10"/>
    <n v="50"/>
    <s v=" "/>
    <n v="50"/>
    <s v="-"/>
    <x v="1"/>
    <s v="10/05/2023"/>
    <n v="121042882"/>
    <n v="7518769067"/>
  </r>
  <r>
    <x v="34"/>
    <x v="66"/>
    <x v="66"/>
    <x v="19"/>
    <n v="25"/>
    <n v="40"/>
    <s v=" "/>
    <n v="40"/>
    <s v="-"/>
    <x v="1"/>
    <s v="10/11/2023"/>
    <n v="314977405"/>
    <n v="1800901526873"/>
  </r>
  <r>
    <x v="34"/>
    <x v="22"/>
    <x v="22"/>
    <x v="4"/>
    <n v="55"/>
    <n v="5"/>
    <s v=" "/>
    <n v="5"/>
    <s v="-"/>
    <x v="1"/>
    <s v="10/26/2023"/>
    <m/>
    <m/>
  </r>
  <r>
    <x v="34"/>
    <x v="203"/>
    <x v="196"/>
    <x v="85"/>
    <n v="20"/>
    <n v="45"/>
    <s v=" "/>
    <n v="45"/>
    <s v="-"/>
    <x v="1"/>
    <s v="10/05/2023"/>
    <n v="111900659"/>
    <n v="1735145326"/>
  </r>
  <r>
    <x v="34"/>
    <x v="167"/>
    <x v="161"/>
    <x v="59"/>
    <n v="35"/>
    <n v="30"/>
    <s v=" "/>
    <n v="30"/>
    <s v="-"/>
    <x v="1"/>
    <s v="10/15/2023"/>
    <n v="314977405"/>
    <n v="1800900986953"/>
  </r>
  <r>
    <x v="34"/>
    <x v="204"/>
    <x v="197"/>
    <x v="86"/>
    <n v="21"/>
    <n v="44"/>
    <s v=" "/>
    <n v="44"/>
    <s v="-"/>
    <x v="1"/>
    <s v="10/05/2023"/>
    <m/>
    <m/>
  </r>
  <r>
    <x v="34"/>
    <x v="205"/>
    <x v="198"/>
    <x v="65"/>
    <n v="40"/>
    <n v="25"/>
    <s v=" "/>
    <n v="25"/>
    <s v="-"/>
    <x v="1"/>
    <s v="10/30/2023"/>
    <n v="314977175"/>
    <n v="288940"/>
  </r>
  <r>
    <x v="34"/>
    <x v="206"/>
    <x v="79"/>
    <x v="87"/>
    <n v="20"/>
    <n v="40"/>
    <s v=" "/>
    <n v="40"/>
    <s v="-"/>
    <x v="1"/>
    <s v="10/05/2023"/>
    <n v="111000025"/>
    <n v="488108216185"/>
  </r>
  <r>
    <x v="34"/>
    <x v="25"/>
    <x v="25"/>
    <x v="8"/>
    <n v="10"/>
    <n v="55"/>
    <s v=" "/>
    <n v="55"/>
    <s v="-"/>
    <x v="1"/>
    <s v="10/05/2023"/>
    <n v="111000614"/>
    <n v="982027275"/>
  </r>
  <r>
    <x v="34"/>
    <x v="207"/>
    <x v="44"/>
    <x v="88"/>
    <n v="0"/>
    <n v="60"/>
    <s v=" "/>
    <n v="60"/>
    <s v="-"/>
    <x v="1"/>
    <s v="10/31/2023"/>
    <n v="314977405"/>
    <n v="1800900064450"/>
  </r>
  <r>
    <x v="34"/>
    <x v="51"/>
    <x v="51"/>
    <x v="6"/>
    <n v="0"/>
    <n v="60"/>
    <s v=" "/>
    <n v="60"/>
    <s v="-"/>
    <x v="1"/>
    <s v="10/20/2023"/>
    <n v="111000614"/>
    <n v="791103770"/>
  </r>
  <r>
    <x v="35"/>
    <x v="208"/>
    <x v="199"/>
    <x v="89"/>
    <n v="65"/>
    <n v="0"/>
    <s v=" "/>
    <n v="0"/>
    <s v="-"/>
    <x v="1"/>
    <s v="10/06/2023"/>
    <n v="125109019"/>
    <n v="875103061318"/>
  </r>
  <r>
    <x v="35"/>
    <x v="4"/>
    <x v="4"/>
    <x v="0"/>
    <n v="21"/>
    <n v="39"/>
    <s v=" "/>
    <n v="39"/>
    <s v="-"/>
    <x v="1"/>
    <s v="10/08/2023"/>
    <n v="113000023"/>
    <n v="586037598423"/>
  </r>
  <r>
    <x v="35"/>
    <x v="63"/>
    <x v="63"/>
    <x v="2"/>
    <n v="13"/>
    <n v="47"/>
    <s v=" "/>
    <n v="47"/>
    <s v="-"/>
    <x v="1"/>
    <s v="10/09/2023"/>
    <n v="111900659"/>
    <n v="8754979113"/>
  </r>
  <r>
    <x v="35"/>
    <x v="209"/>
    <x v="200"/>
    <x v="31"/>
    <n v="35"/>
    <n v="30"/>
    <s v=" "/>
    <n v="30"/>
    <s v="-"/>
    <x v="1"/>
    <s v="10/31/2023"/>
    <n v="111000614"/>
    <n v="1559897432"/>
  </r>
  <r>
    <x v="35"/>
    <x v="210"/>
    <x v="61"/>
    <x v="52"/>
    <n v="15"/>
    <n v="50"/>
    <s v=" "/>
    <n v="50"/>
    <s v="-"/>
    <x v="1"/>
    <s v="10/31/2023"/>
    <n v="314089681"/>
    <n v="199140275"/>
  </r>
  <r>
    <x v="35"/>
    <x v="211"/>
    <x v="201"/>
    <x v="90"/>
    <n v="20"/>
    <n v="45"/>
    <s v=" "/>
    <n v="45"/>
    <s v="-"/>
    <x v="1"/>
    <s v="10/06/2023"/>
    <n v="111000025"/>
    <n v="488111335590"/>
  </r>
  <r>
    <x v="35"/>
    <x v="144"/>
    <x v="37"/>
    <x v="30"/>
    <n v="3"/>
    <n v="62"/>
    <s v=" "/>
    <n v="62"/>
    <s v="-"/>
    <x v="1"/>
    <s v="10/31/2023"/>
    <n v="111900659"/>
    <n v="1007239476"/>
  </r>
  <r>
    <x v="35"/>
    <x v="212"/>
    <x v="202"/>
    <x v="13"/>
    <n v="10"/>
    <n v="55"/>
    <s v=" "/>
    <n v="55"/>
    <s v="-"/>
    <x v="1"/>
    <s v="10/06/2023"/>
    <m/>
    <m/>
  </r>
  <r>
    <x v="35"/>
    <x v="213"/>
    <x v="203"/>
    <x v="59"/>
    <n v="40"/>
    <n v="25"/>
    <n v="10"/>
    <n v="35"/>
    <s v="-"/>
    <x v="1"/>
    <s v="10/15/2023"/>
    <n v="314977405"/>
    <n v="1800900986953"/>
  </r>
  <r>
    <x v="35"/>
    <x v="214"/>
    <x v="204"/>
    <x v="68"/>
    <n v="20"/>
    <n v="40"/>
    <s v=" "/>
    <n v="40"/>
    <s v="-"/>
    <x v="1"/>
    <s v="10/06/2023"/>
    <n v="314977298"/>
    <n v="1810039239"/>
  </r>
  <r>
    <x v="35"/>
    <x v="215"/>
    <x v="205"/>
    <x v="45"/>
    <n v="11"/>
    <n v="49"/>
    <s v=" "/>
    <n v="49"/>
    <s v="-"/>
    <x v="1"/>
    <s v="10/10/2023"/>
    <n v="314977405"/>
    <n v="1800900913423"/>
  </r>
  <r>
    <x v="35"/>
    <x v="216"/>
    <x v="206"/>
    <x v="27"/>
    <n v="10"/>
    <n v="55"/>
    <s v=" "/>
    <n v="55"/>
    <s v="-"/>
    <x v="1"/>
    <s v="10/31/2023"/>
    <n v="111900659"/>
    <n v="5025887380"/>
  </r>
  <r>
    <x v="35"/>
    <x v="217"/>
    <x v="207"/>
    <x v="31"/>
    <n v="11"/>
    <n v="54"/>
    <s v=" "/>
    <n v="54"/>
    <s v="-"/>
    <x v="1"/>
    <s v="10/31/2023"/>
    <n v="111000614"/>
    <n v="1559897432"/>
  </r>
  <r>
    <x v="35"/>
    <x v="218"/>
    <x v="208"/>
    <x v="0"/>
    <n v="150"/>
    <n v="0"/>
    <s v=" "/>
    <n v="0"/>
    <s v="-"/>
    <x v="1"/>
    <s v="10/16/2023"/>
    <n v="113000023"/>
    <n v="586037598423"/>
  </r>
  <r>
    <x v="36"/>
    <x v="153"/>
    <x v="147"/>
    <x v="30"/>
    <n v="20"/>
    <n v="40"/>
    <s v=" "/>
    <n v="40"/>
    <s v="-"/>
    <x v="1"/>
    <s v="10/31/2023"/>
    <n v="111900659"/>
    <n v="1007239476"/>
  </r>
  <r>
    <x v="36"/>
    <x v="219"/>
    <x v="209"/>
    <x v="58"/>
    <n v="10"/>
    <n v="50"/>
    <s v=" "/>
    <n v="50"/>
    <s v="-"/>
    <x v="1"/>
    <s v="10/07/2023"/>
    <n v="314977405"/>
    <n v="900931267"/>
  </r>
  <r>
    <x v="36"/>
    <x v="99"/>
    <x v="97"/>
    <x v="49"/>
    <n v="10"/>
    <n v="50"/>
    <s v=" "/>
    <n v="50"/>
    <s v="-"/>
    <x v="1"/>
    <s v="10/09/2023"/>
    <n v="111000025"/>
    <n v="488113380857"/>
  </r>
  <r>
    <x v="37"/>
    <x v="220"/>
    <x v="210"/>
    <x v="31"/>
    <n v="25"/>
    <n v="35"/>
    <s v=" "/>
    <n v="35"/>
    <s v="-"/>
    <x v="1"/>
    <s v="10/31/2023"/>
    <n v="111000614"/>
    <n v="1559897432"/>
  </r>
  <r>
    <x v="37"/>
    <x v="72"/>
    <x v="72"/>
    <x v="31"/>
    <n v="10"/>
    <n v="50"/>
    <s v=" "/>
    <n v="50"/>
    <s v="-"/>
    <x v="1"/>
    <s v="10/31/2023"/>
    <n v="111000614"/>
    <n v="1559897432"/>
  </r>
  <r>
    <x v="38"/>
    <x v="221"/>
    <x v="211"/>
    <x v="34"/>
    <n v="40"/>
    <n v="25"/>
    <s v=" "/>
    <n v="25"/>
    <s v="-"/>
    <x v="1"/>
    <s v="10/09/2023"/>
    <n v="314089681"/>
    <n v="225927393"/>
  </r>
  <r>
    <x v="38"/>
    <x v="222"/>
    <x v="212"/>
    <x v="23"/>
    <n v="10"/>
    <n v="50"/>
    <s v=" "/>
    <n v="50"/>
    <s v="-"/>
    <x v="1"/>
    <s v="10/10/2023"/>
    <m/>
    <m/>
  </r>
  <r>
    <x v="38"/>
    <x v="223"/>
    <x v="213"/>
    <x v="91"/>
    <n v="20"/>
    <n v="40"/>
    <s v=" "/>
    <n v="40"/>
    <s v="-"/>
    <x v="1"/>
    <s v="10/11/2023"/>
    <n v="211370150"/>
    <n v="100086687"/>
  </r>
  <r>
    <x v="38"/>
    <x v="81"/>
    <x v="81"/>
    <x v="33"/>
    <n v="15"/>
    <n v="50"/>
    <s v=" "/>
    <n v="50"/>
    <s v="-"/>
    <x v="1"/>
    <s v="10/09/2023"/>
    <n v="111900659"/>
    <n v="3805508938"/>
  </r>
  <r>
    <x v="38"/>
    <x v="43"/>
    <x v="43"/>
    <x v="14"/>
    <n v="10"/>
    <n v="50"/>
    <s v=" "/>
    <n v="50"/>
    <s v="-"/>
    <x v="1"/>
    <s v="10/23/2023"/>
    <n v="111000614"/>
    <n v="3111463109"/>
  </r>
  <r>
    <x v="38"/>
    <x v="224"/>
    <x v="214"/>
    <x v="36"/>
    <n v="1"/>
    <n v="64"/>
    <s v=" "/>
    <n v="64"/>
    <s v="-"/>
    <x v="1"/>
    <s v="10/31/2023"/>
    <n v="113010547"/>
    <s v="01089622"/>
  </r>
  <r>
    <x v="38"/>
    <x v="225"/>
    <x v="215"/>
    <x v="40"/>
    <n v="60"/>
    <n v="0"/>
    <s v=" "/>
    <n v="0"/>
    <s v="-"/>
    <x v="1"/>
    <s v="10/09/2023"/>
    <n v="314977175"/>
    <n v="1800062621"/>
  </r>
  <r>
    <x v="38"/>
    <x v="226"/>
    <x v="216"/>
    <x v="37"/>
    <n v="20"/>
    <n v="40"/>
    <n v="10"/>
    <n v="50"/>
    <s v="-"/>
    <x v="1"/>
    <s v="10/16/2023"/>
    <n v="314977405"/>
    <n v="1800900316243"/>
  </r>
  <r>
    <x v="38"/>
    <x v="1"/>
    <x v="1"/>
    <x v="0"/>
    <n v="35"/>
    <n v="30"/>
    <s v=" "/>
    <n v="30"/>
    <s v="-"/>
    <x v="1"/>
    <s v="10/16/2023"/>
    <n v="113000023"/>
    <n v="586037598423"/>
  </r>
  <r>
    <x v="38"/>
    <x v="227"/>
    <x v="217"/>
    <x v="54"/>
    <n v="26"/>
    <n v="34"/>
    <s v=" "/>
    <n v="34"/>
    <s v="-"/>
    <x v="1"/>
    <s v="10/31/2023"/>
    <n v="114000093"/>
    <n v="584219511"/>
  </r>
  <r>
    <x v="38"/>
    <x v="228"/>
    <x v="218"/>
    <x v="37"/>
    <n v="11"/>
    <n v="49"/>
    <n v="10"/>
    <n v="59"/>
    <s v="-"/>
    <x v="1"/>
    <s v="10/16/2023"/>
    <n v="314977405"/>
    <n v="1800900316243"/>
  </r>
  <r>
    <x v="38"/>
    <x v="229"/>
    <x v="219"/>
    <x v="92"/>
    <n v="11"/>
    <n v="49"/>
    <s v=" "/>
    <n v="49"/>
    <s v="-"/>
    <x v="1"/>
    <s v="10/31/2023"/>
    <n v="314977175"/>
    <n v="1800237276"/>
  </r>
  <r>
    <x v="38"/>
    <x v="87"/>
    <x v="87"/>
    <x v="40"/>
    <n v="10"/>
    <n v="55"/>
    <s v=" "/>
    <n v="55"/>
    <s v="-"/>
    <x v="1"/>
    <s v="10/09/2023"/>
    <n v="314977175"/>
    <n v="1800062621"/>
  </r>
  <r>
    <x v="38"/>
    <x v="230"/>
    <x v="220"/>
    <x v="93"/>
    <n v="20"/>
    <n v="45"/>
    <s v=" "/>
    <n v="45"/>
    <s v="-"/>
    <x v="1"/>
    <s v="10/19/2023"/>
    <n v="111900659"/>
    <n v="7919088034"/>
  </r>
  <r>
    <x v="38"/>
    <x v="192"/>
    <x v="185"/>
    <x v="31"/>
    <n v="20"/>
    <n v="40"/>
    <s v=" "/>
    <n v="40"/>
    <s v="-"/>
    <x v="1"/>
    <s v="10/31/2023"/>
    <n v="111000614"/>
    <n v="1559897432"/>
  </r>
  <r>
    <x v="38"/>
    <x v="90"/>
    <x v="90"/>
    <x v="33"/>
    <n v="35"/>
    <n v="40"/>
    <s v=" "/>
    <n v="40"/>
    <s v="-"/>
    <x v="1"/>
    <s v="10/09/2023"/>
    <n v="111900659"/>
    <n v="3805508938"/>
  </r>
  <r>
    <x v="38"/>
    <x v="196"/>
    <x v="189"/>
    <x v="83"/>
    <n v="30"/>
    <n v="30"/>
    <s v=" "/>
    <n v="30"/>
    <s v="-"/>
    <x v="1"/>
    <s v="10/09/2023"/>
    <n v="314977405"/>
    <n v="1800900499734"/>
  </r>
  <r>
    <x v="38"/>
    <x v="73"/>
    <x v="73"/>
    <x v="43"/>
    <n v="10"/>
    <n v="65"/>
    <s v=" "/>
    <n v="65"/>
    <s v="-"/>
    <x v="1"/>
    <s v="10/16/2023"/>
    <n v="114993906"/>
    <s v="009165659357"/>
  </r>
  <r>
    <x v="38"/>
    <x v="231"/>
    <x v="221"/>
    <x v="70"/>
    <n v="30"/>
    <n v="35"/>
    <s v=" "/>
    <n v="35"/>
    <s v="-"/>
    <x v="1"/>
    <s v="10/10/2023"/>
    <n v="111000614"/>
    <n v="637882736"/>
  </r>
  <r>
    <x v="38"/>
    <x v="232"/>
    <x v="222"/>
    <x v="35"/>
    <n v="25"/>
    <n v="35"/>
    <s v=" "/>
    <n v="35"/>
    <s v="-"/>
    <x v="1"/>
    <s v="10/28/2023"/>
    <n v="314977340"/>
    <s v="0002365982"/>
  </r>
  <r>
    <x v="38"/>
    <x v="233"/>
    <x v="223"/>
    <x v="87"/>
    <n v="20"/>
    <n v="40"/>
    <s v=" "/>
    <n v="40"/>
    <s v="-"/>
    <x v="1"/>
    <s v="10/09/2023"/>
    <n v="111000025"/>
    <n v="488108216185"/>
  </r>
  <r>
    <x v="38"/>
    <x v="95"/>
    <x v="79"/>
    <x v="31"/>
    <n v="36"/>
    <n v="24"/>
    <s v=" "/>
    <n v="24"/>
    <s v="-"/>
    <x v="1"/>
    <s v="10/31/2023"/>
    <n v="111000614"/>
    <n v="1559897432"/>
  </r>
  <r>
    <x v="38"/>
    <x v="42"/>
    <x v="42"/>
    <x v="12"/>
    <n v="15"/>
    <n v="50"/>
    <s v=" "/>
    <n v="50"/>
    <s v="-"/>
    <x v="1"/>
    <s v="10/11/2023"/>
    <n v="111900659"/>
    <n v="8721262510"/>
  </r>
  <r>
    <x v="38"/>
    <x v="234"/>
    <x v="224"/>
    <x v="78"/>
    <n v="50"/>
    <n v="15"/>
    <s v=" "/>
    <n v="15"/>
    <s v="-"/>
    <x v="1"/>
    <s v="10/09/2023"/>
    <n v="314977175"/>
    <n v="1800272855"/>
  </r>
  <r>
    <x v="38"/>
    <x v="66"/>
    <x v="66"/>
    <x v="19"/>
    <n v="25"/>
    <n v="40"/>
    <s v=" "/>
    <n v="40"/>
    <s v="-"/>
    <x v="1"/>
    <s v="10/11/2023"/>
    <n v="314977405"/>
    <n v="1800901526873"/>
  </r>
  <r>
    <x v="38"/>
    <x v="235"/>
    <x v="225"/>
    <x v="49"/>
    <n v="20"/>
    <n v="40"/>
    <s v=" "/>
    <n v="40"/>
    <s v="-"/>
    <x v="1"/>
    <s v="10/09/2023"/>
    <n v="111000025"/>
    <n v="488113380857"/>
  </r>
  <r>
    <x v="38"/>
    <x v="236"/>
    <x v="16"/>
    <x v="31"/>
    <n v="20"/>
    <n v="40"/>
    <s v=" "/>
    <n v="40"/>
    <s v="-"/>
    <x v="1"/>
    <s v="10/31/2023"/>
    <n v="111000614"/>
    <n v="1559897432"/>
  </r>
  <r>
    <x v="38"/>
    <x v="237"/>
    <x v="195"/>
    <x v="42"/>
    <n v="10"/>
    <n v="55"/>
    <n v="10"/>
    <n v="65"/>
    <s v="-"/>
    <x v="1"/>
    <s v="10/11/2023"/>
    <n v="111900659"/>
    <n v="2415203955"/>
  </r>
  <r>
    <x v="38"/>
    <x v="100"/>
    <x v="98"/>
    <x v="47"/>
    <n v="0"/>
    <n v="65"/>
    <s v=" "/>
    <n v="65"/>
    <s v="-"/>
    <x v="1"/>
    <s v="10/09/2023"/>
    <n v="314088572"/>
    <n v="1588864"/>
  </r>
  <r>
    <x v="38"/>
    <x v="218"/>
    <x v="208"/>
    <x v="0"/>
    <n v="150"/>
    <n v="0"/>
    <s v=" "/>
    <n v="0"/>
    <s v="-"/>
    <x v="1"/>
    <s v="10/16/2023"/>
    <n v="113000023"/>
    <n v="586037598423"/>
  </r>
  <r>
    <x v="39"/>
    <x v="7"/>
    <x v="7"/>
    <x v="3"/>
    <n v="20"/>
    <n v="45"/>
    <s v=" "/>
    <n v="45"/>
    <s v="-"/>
    <x v="1"/>
    <s v="10/12/2023"/>
    <n v="114000093"/>
    <n v="352031183"/>
  </r>
  <r>
    <x v="39"/>
    <x v="238"/>
    <x v="226"/>
    <x v="91"/>
    <n v="10"/>
    <n v="55"/>
    <s v=" "/>
    <n v="55"/>
    <s v="-"/>
    <x v="1"/>
    <s v="10/11/2023"/>
    <n v="211370150"/>
    <n v="100086687"/>
  </r>
  <r>
    <x v="39"/>
    <x v="0"/>
    <x v="0"/>
    <x v="66"/>
    <n v="40"/>
    <n v="35"/>
    <s v=" "/>
    <n v="35"/>
    <s v="-"/>
    <x v="1"/>
    <s v="10/30/2023"/>
    <n v="314977405"/>
    <n v="1830900455112"/>
  </r>
  <r>
    <x v="39"/>
    <x v="239"/>
    <x v="227"/>
    <x v="77"/>
    <n v="30"/>
    <n v="35"/>
    <s v=" "/>
    <n v="35"/>
    <s v="-"/>
    <x v="1"/>
    <s v="10/31/2023"/>
    <s v="071921891"/>
    <n v="4952904048"/>
  </r>
  <r>
    <x v="39"/>
    <x v="240"/>
    <x v="228"/>
    <x v="87"/>
    <n v="15"/>
    <n v="60"/>
    <s v=" "/>
    <n v="60"/>
    <s v="-"/>
    <x v="1"/>
    <s v="10/10/2023"/>
    <n v="111000025"/>
    <n v="488108216185"/>
  </r>
  <r>
    <x v="39"/>
    <x v="241"/>
    <x v="229"/>
    <x v="94"/>
    <n v="35"/>
    <n v="30"/>
    <s v=" "/>
    <n v="30"/>
    <s v="-"/>
    <x v="1"/>
    <s v="10/31/2023"/>
    <n v="111000614"/>
    <n v="211683500"/>
  </r>
  <r>
    <x v="39"/>
    <x v="106"/>
    <x v="104"/>
    <x v="51"/>
    <n v="10"/>
    <n v="50"/>
    <s v=" "/>
    <n v="50"/>
    <s v="-"/>
    <x v="1"/>
    <s v="10/10/2023"/>
    <n v="314977104"/>
    <n v="569956"/>
  </r>
  <r>
    <x v="39"/>
    <x v="242"/>
    <x v="230"/>
    <x v="95"/>
    <n v="36"/>
    <n v="29"/>
    <s v=" "/>
    <n v="29"/>
    <s v="-"/>
    <x v="1"/>
    <s v="10/10/2023"/>
    <n v="314977191"/>
    <n v="1080003377345"/>
  </r>
  <r>
    <x v="39"/>
    <x v="55"/>
    <x v="55"/>
    <x v="20"/>
    <n v="40"/>
    <n v="20"/>
    <s v=" "/>
    <n v="20"/>
    <s v="-"/>
    <x v="1"/>
    <s v="10/11/2023"/>
    <n v="314089681"/>
    <n v="188736177"/>
  </r>
  <r>
    <x v="39"/>
    <x v="108"/>
    <x v="106"/>
    <x v="53"/>
    <n v="20"/>
    <n v="40"/>
    <s v=" "/>
    <n v="40"/>
    <s v="-"/>
    <x v="1"/>
    <s v="10/10/2023"/>
    <n v="111000614"/>
    <n v="112335069"/>
  </r>
  <r>
    <x v="39"/>
    <x v="143"/>
    <x v="138"/>
    <x v="37"/>
    <n v="20"/>
    <n v="40"/>
    <n v="10"/>
    <n v="50"/>
    <s v="-"/>
    <x v="1"/>
    <s v="10/16/2023"/>
    <n v="314977405"/>
    <n v="1800900316243"/>
  </r>
  <r>
    <x v="39"/>
    <x v="243"/>
    <x v="231"/>
    <x v="64"/>
    <n v="5"/>
    <n v="60"/>
    <s v=" "/>
    <n v="60"/>
    <s v="-"/>
    <x v="1"/>
    <s v="10/29/2023"/>
    <n v="314977405"/>
    <n v="1800901050415"/>
  </r>
  <r>
    <x v="39"/>
    <x v="244"/>
    <x v="232"/>
    <x v="40"/>
    <n v="15"/>
    <n v="45"/>
    <s v=" "/>
    <n v="45"/>
    <s v="-"/>
    <x v="1"/>
    <s v="10/10/2023"/>
    <n v="314977175"/>
    <n v="1800062621"/>
  </r>
  <r>
    <x v="39"/>
    <x v="245"/>
    <x v="233"/>
    <x v="20"/>
    <n v="45"/>
    <n v="30"/>
    <s v=" "/>
    <n v="30"/>
    <s v="-"/>
    <x v="1"/>
    <s v="10/11/2023"/>
    <n v="314089681"/>
    <n v="188736177"/>
  </r>
  <r>
    <x v="39"/>
    <x v="246"/>
    <x v="234"/>
    <x v="30"/>
    <n v="40"/>
    <n v="25"/>
    <s v=" "/>
    <n v="25"/>
    <s v="-"/>
    <x v="1"/>
    <s v="10/31/2023"/>
    <n v="111900659"/>
    <n v="1007239476"/>
  </r>
  <r>
    <x v="39"/>
    <x v="247"/>
    <x v="235"/>
    <x v="59"/>
    <n v="25"/>
    <n v="40"/>
    <s v=" "/>
    <n v="40"/>
    <s v="-"/>
    <x v="1"/>
    <s v="10/15/2023"/>
    <n v="314977405"/>
    <n v="1800900986953"/>
  </r>
  <r>
    <x v="39"/>
    <x v="149"/>
    <x v="143"/>
    <x v="69"/>
    <n v="16"/>
    <n v="49"/>
    <s v=" "/>
    <n v="49"/>
    <s v="-"/>
    <x v="1"/>
    <s v="10/10/2023"/>
    <n v="111000614"/>
    <n v="876677332"/>
  </r>
  <r>
    <x v="39"/>
    <x v="248"/>
    <x v="236"/>
    <x v="96"/>
    <n v="35"/>
    <n v="25"/>
    <s v=" "/>
    <n v="25"/>
    <s v="-"/>
    <x v="1"/>
    <s v="10/10/2023"/>
    <m/>
    <m/>
  </r>
  <r>
    <x v="39"/>
    <x v="249"/>
    <x v="237"/>
    <x v="97"/>
    <n v="10"/>
    <n v="50"/>
    <s v=" "/>
    <n v="50"/>
    <s v="-"/>
    <x v="1"/>
    <s v="10/16/2023"/>
    <m/>
    <m/>
  </r>
  <r>
    <x v="39"/>
    <x v="250"/>
    <x v="238"/>
    <x v="58"/>
    <n v="30"/>
    <n v="30"/>
    <s v=" "/>
    <n v="30"/>
    <s v="-"/>
    <x v="1"/>
    <s v="10/10/2023"/>
    <n v="314977405"/>
    <n v="900931267"/>
  </r>
  <r>
    <x v="39"/>
    <x v="251"/>
    <x v="239"/>
    <x v="13"/>
    <n v="16"/>
    <n v="49"/>
    <s v=" "/>
    <n v="49"/>
    <s v="-"/>
    <x v="1"/>
    <s v="10/10/2023"/>
    <m/>
    <m/>
  </r>
  <r>
    <x v="39"/>
    <x v="252"/>
    <x v="228"/>
    <x v="71"/>
    <n v="25"/>
    <n v="40"/>
    <s v=" "/>
    <n v="40"/>
    <s v="-"/>
    <x v="1"/>
    <s v="10/30/2023"/>
    <m/>
    <m/>
  </r>
  <r>
    <x v="39"/>
    <x v="253"/>
    <x v="240"/>
    <x v="13"/>
    <n v="7"/>
    <n v="58"/>
    <s v=" "/>
    <n v="58"/>
    <s v="-"/>
    <x v="1"/>
    <s v="10/10/2023"/>
    <m/>
    <m/>
  </r>
  <r>
    <x v="39"/>
    <x v="254"/>
    <x v="241"/>
    <x v="98"/>
    <n v="45"/>
    <n v="15"/>
    <s v=" "/>
    <n v="15"/>
    <s v="-"/>
    <x v="1"/>
    <s v="10/10/2023"/>
    <n v="111000614"/>
    <n v="312825737"/>
  </r>
  <r>
    <x v="39"/>
    <x v="255"/>
    <x v="242"/>
    <x v="54"/>
    <n v="2"/>
    <n v="63"/>
    <s v=" "/>
    <n v="63"/>
    <s v="-"/>
    <x v="1"/>
    <s v="10/31/2023"/>
    <n v="114000093"/>
    <n v="584219511"/>
  </r>
  <r>
    <x v="39"/>
    <x v="256"/>
    <x v="243"/>
    <x v="42"/>
    <n v="15"/>
    <n v="50"/>
    <s v=" "/>
    <n v="50"/>
    <s v="-"/>
    <x v="1"/>
    <s v="10/11/2023"/>
    <n v="111900659"/>
    <n v="2415203955"/>
  </r>
  <r>
    <x v="39"/>
    <x v="117"/>
    <x v="114"/>
    <x v="57"/>
    <n v="16"/>
    <n v="44"/>
    <s v=" "/>
    <n v="44"/>
    <s v="-"/>
    <x v="0"/>
    <s v="10/31/2023"/>
    <n v="111000614"/>
    <n v="356579018"/>
  </r>
  <r>
    <x v="39"/>
    <x v="257"/>
    <x v="244"/>
    <x v="47"/>
    <n v="20"/>
    <n v="45"/>
    <n v="10"/>
    <n v="55"/>
    <s v="-"/>
    <x v="1"/>
    <s v="10/10/2023"/>
    <n v="314088572"/>
    <n v="1588864"/>
  </r>
  <r>
    <x v="39"/>
    <x v="258"/>
    <x v="194"/>
    <x v="99"/>
    <n v="15"/>
    <n v="45"/>
    <s v=" "/>
    <n v="45"/>
    <s v="-"/>
    <x v="1"/>
    <s v="10/11/2023"/>
    <n v="314977175"/>
    <n v="1800272855"/>
  </r>
  <r>
    <x v="39"/>
    <x v="259"/>
    <x v="245"/>
    <x v="50"/>
    <n v="20"/>
    <n v="40"/>
    <s v=" "/>
    <n v="40"/>
    <s v="-"/>
    <x v="1"/>
    <s v="10/10/2023"/>
    <n v="121042882"/>
    <n v="7518769067"/>
  </r>
  <r>
    <x v="39"/>
    <x v="260"/>
    <x v="246"/>
    <x v="46"/>
    <n v="20"/>
    <n v="40"/>
    <s v=" "/>
    <n v="40"/>
    <s v="-"/>
    <x v="1"/>
    <s v="10/10/2023"/>
    <n v="111900659"/>
    <n v="2232144119"/>
  </r>
  <r>
    <x v="39"/>
    <x v="261"/>
    <x v="247"/>
    <x v="65"/>
    <n v="30"/>
    <n v="65"/>
    <n v="10"/>
    <n v="75"/>
    <s v="-"/>
    <x v="1"/>
    <s v="10/30/2023"/>
    <n v="314977175"/>
    <n v="288940"/>
  </r>
  <r>
    <x v="39"/>
    <x v="262"/>
    <x v="245"/>
    <x v="51"/>
    <n v="25"/>
    <n v="35"/>
    <s v=" "/>
    <n v="35"/>
    <s v="-"/>
    <x v="1"/>
    <s v="10/10/2023"/>
    <n v="314977104"/>
    <n v="569956"/>
  </r>
  <r>
    <x v="39"/>
    <x v="263"/>
    <x v="248"/>
    <x v="20"/>
    <n v="20"/>
    <n v="40"/>
    <s v=" "/>
    <n v="40"/>
    <s v="-"/>
    <x v="1"/>
    <s v="10/11/2023"/>
    <n v="314089681"/>
    <n v="188736177"/>
  </r>
  <r>
    <x v="39"/>
    <x v="264"/>
    <x v="249"/>
    <x v="100"/>
    <n v="0"/>
    <n v="65"/>
    <s v=" "/>
    <n v="65"/>
    <s v="-"/>
    <x v="1"/>
    <s v="10/11/2023"/>
    <n v="111000614"/>
    <n v="309835814"/>
  </r>
  <r>
    <x v="39"/>
    <x v="265"/>
    <x v="250"/>
    <x v="51"/>
    <n v="30"/>
    <n v="30"/>
    <s v=" "/>
    <n v="30"/>
    <s v="-"/>
    <x v="1"/>
    <s v="10/10/2023"/>
    <n v="314977104"/>
    <n v="569956"/>
  </r>
  <r>
    <x v="39"/>
    <x v="266"/>
    <x v="5"/>
    <x v="99"/>
    <n v="12"/>
    <n v="48"/>
    <s v=" "/>
    <n v="48"/>
    <s v="-"/>
    <x v="1"/>
    <s v="10/11/2023"/>
    <n v="314977175"/>
    <n v="1800272855"/>
  </r>
  <r>
    <x v="39"/>
    <x v="56"/>
    <x v="56"/>
    <x v="20"/>
    <n v="30"/>
    <n v="30"/>
    <s v=" "/>
    <n v="30"/>
    <s v="-"/>
    <x v="1"/>
    <s v="10/11/2023"/>
    <n v="314089681"/>
    <n v="188736177"/>
  </r>
  <r>
    <x v="39"/>
    <x v="267"/>
    <x v="251"/>
    <x v="60"/>
    <n v="40"/>
    <n v="20"/>
    <s v=" "/>
    <n v="20"/>
    <s v="-"/>
    <x v="1"/>
    <s v="10/10/2023"/>
    <s v="044000804"/>
    <n v="9621099177842"/>
  </r>
  <r>
    <x v="39"/>
    <x v="124"/>
    <x v="121"/>
    <x v="61"/>
    <n v="0"/>
    <n v="65"/>
    <s v=" "/>
    <n v="65"/>
    <s v="-"/>
    <x v="0"/>
    <s v="10/10/2023"/>
    <n v="111900659"/>
    <n v="8568595873"/>
  </r>
  <r>
    <x v="39"/>
    <x v="268"/>
    <x v="252"/>
    <x v="33"/>
    <n v="6"/>
    <n v="54"/>
    <s v=" "/>
    <n v="54"/>
    <s v="-"/>
    <x v="1"/>
    <s v="10/10/2023"/>
    <n v="111900659"/>
    <n v="3805508938"/>
  </r>
  <r>
    <x v="39"/>
    <x v="28"/>
    <x v="28"/>
    <x v="4"/>
    <n v="20"/>
    <n v="40"/>
    <s v=" "/>
    <n v="40"/>
    <s v="-"/>
    <x v="1"/>
    <s v="10/26/2023"/>
    <m/>
    <m/>
  </r>
  <r>
    <x v="39"/>
    <x v="269"/>
    <x v="253"/>
    <x v="93"/>
    <n v="20"/>
    <n v="45"/>
    <s v=" "/>
    <n v="45"/>
    <s v="-"/>
    <x v="1"/>
    <s v="10/19/2023"/>
    <n v="111900659"/>
    <n v="7919088034"/>
  </r>
  <r>
    <x v="39"/>
    <x v="205"/>
    <x v="198"/>
    <x v="65"/>
    <n v="40"/>
    <n v="25"/>
    <s v=" "/>
    <n v="25"/>
    <s v="-"/>
    <x v="1"/>
    <s v="10/30/2023"/>
    <n v="314977175"/>
    <n v="288940"/>
  </r>
  <r>
    <x v="39"/>
    <x v="270"/>
    <x v="37"/>
    <x v="27"/>
    <n v="20"/>
    <n v="45"/>
    <s v=" "/>
    <n v="45"/>
    <s v="-"/>
    <x v="1"/>
    <s v="10/31/2023"/>
    <n v="111900659"/>
    <n v="5025887380"/>
  </r>
  <r>
    <x v="39"/>
    <x v="271"/>
    <x v="254"/>
    <x v="42"/>
    <n v="40"/>
    <n v="25"/>
    <s v=" "/>
    <n v="25"/>
    <s v="-"/>
    <x v="1"/>
    <s v="10/11/2023"/>
    <n v="111900659"/>
    <n v="2415203955"/>
  </r>
  <r>
    <x v="39"/>
    <x v="272"/>
    <x v="255"/>
    <x v="42"/>
    <n v="0"/>
    <n v="65"/>
    <s v=" "/>
    <n v="65"/>
    <s v="-"/>
    <x v="1"/>
    <s v="10/11/2023"/>
    <n v="111900659"/>
    <n v="2415203955"/>
  </r>
  <r>
    <x v="39"/>
    <x v="273"/>
    <x v="256"/>
    <x v="2"/>
    <n v="30"/>
    <n v="35"/>
    <s v=" "/>
    <n v="35"/>
    <s v="-"/>
    <x v="1"/>
    <s v="10/13/2023"/>
    <n v="111900659"/>
    <n v="8754979113"/>
  </r>
  <r>
    <x v="40"/>
    <x v="133"/>
    <x v="37"/>
    <x v="37"/>
    <n v="15"/>
    <n v="50"/>
    <s v=" "/>
    <n v="50"/>
    <s v="-"/>
    <x v="1"/>
    <s v="10/16/2023"/>
    <n v="314977405"/>
    <n v="1800900316243"/>
  </r>
  <r>
    <x v="40"/>
    <x v="36"/>
    <x v="36"/>
    <x v="3"/>
    <n v="10"/>
    <n v="50"/>
    <s v=" "/>
    <n v="50"/>
    <s v="-"/>
    <x v="1"/>
    <s v="10/12/2023"/>
    <n v="114000093"/>
    <n v="352031183"/>
  </r>
  <r>
    <x v="40"/>
    <x v="29"/>
    <x v="29"/>
    <x v="11"/>
    <n v="20"/>
    <n v="40"/>
    <s v=" "/>
    <n v="40"/>
    <s v="-"/>
    <x v="1"/>
    <s v="10/12/2023"/>
    <n v="314977405"/>
    <n v="901205198"/>
  </r>
  <r>
    <x v="40"/>
    <x v="0"/>
    <x v="0"/>
    <x v="0"/>
    <n v="30"/>
    <n v="35"/>
    <s v=" "/>
    <n v="35"/>
    <s v="-"/>
    <x v="1"/>
    <s v="10/16/2023"/>
    <n v="113000023"/>
    <n v="586037598423"/>
  </r>
  <r>
    <x v="40"/>
    <x v="274"/>
    <x v="257"/>
    <x v="54"/>
    <n v="20"/>
    <n v="40"/>
    <s v=" "/>
    <n v="40"/>
    <s v="-"/>
    <x v="1"/>
    <s v="10/31/2023"/>
    <n v="114000093"/>
    <n v="584219511"/>
  </r>
  <r>
    <x v="40"/>
    <x v="275"/>
    <x v="258"/>
    <x v="98"/>
    <n v="15"/>
    <n v="50"/>
    <s v=" "/>
    <n v="50"/>
    <s v="-"/>
    <x v="1"/>
    <s v="10/11/2023"/>
    <n v="111000614"/>
    <n v="312825737"/>
  </r>
  <r>
    <x v="40"/>
    <x v="276"/>
    <x v="259"/>
    <x v="40"/>
    <n v="16"/>
    <n v="44"/>
    <s v=" "/>
    <n v="44"/>
    <s v="-"/>
    <x v="1"/>
    <s v="10/11/2023"/>
    <n v="314977175"/>
    <n v="1800062621"/>
  </r>
  <r>
    <x v="40"/>
    <x v="52"/>
    <x v="52"/>
    <x v="17"/>
    <n v="16"/>
    <n v="49"/>
    <s v=" "/>
    <n v="49"/>
    <s v="-"/>
    <x v="1"/>
    <s v="10/15/2023"/>
    <s v="071921891"/>
    <n v="4955495358"/>
  </r>
  <r>
    <x v="40"/>
    <x v="277"/>
    <x v="260"/>
    <x v="70"/>
    <n v="10"/>
    <n v="50"/>
    <s v=" "/>
    <n v="50"/>
    <s v="-"/>
    <x v="1"/>
    <s v="10/11/2023"/>
    <n v="111000614"/>
    <n v="637882736"/>
  </r>
  <r>
    <x v="40"/>
    <x v="278"/>
    <x v="261"/>
    <x v="101"/>
    <n v="15"/>
    <n v="60"/>
    <s v=" "/>
    <n v="60"/>
    <s v="-"/>
    <x v="1"/>
    <s v="10/12/2023"/>
    <n v="314977405"/>
    <n v="1800901381103"/>
  </r>
  <r>
    <x v="40"/>
    <x v="13"/>
    <x v="13"/>
    <x v="3"/>
    <n v="6"/>
    <n v="54"/>
    <s v=" "/>
    <n v="54"/>
    <s v="-"/>
    <x v="1"/>
    <s v="10/12/2023"/>
    <n v="114000093"/>
    <n v="352031183"/>
  </r>
  <r>
    <x v="40"/>
    <x v="57"/>
    <x v="57"/>
    <x v="21"/>
    <n v="25"/>
    <n v="35"/>
    <s v=" "/>
    <n v="35"/>
    <s v="-"/>
    <x v="1"/>
    <s v="10/11/2023"/>
    <n v="114000093"/>
    <n v="59251900"/>
  </r>
  <r>
    <x v="40"/>
    <x v="279"/>
    <x v="262"/>
    <x v="102"/>
    <n v="12"/>
    <n v="48"/>
    <s v=" "/>
    <n v="48"/>
    <s v="-"/>
    <x v="1"/>
    <s v="10/11/2023"/>
    <n v="314089681"/>
    <s v="09749914"/>
  </r>
  <r>
    <x v="40"/>
    <x v="31"/>
    <x v="31"/>
    <x v="5"/>
    <n v="11"/>
    <n v="49"/>
    <s v=" "/>
    <n v="49"/>
    <s v="-"/>
    <x v="1"/>
    <s v="10/30/2023"/>
    <s v="071000013"/>
    <n v="1110027356722"/>
  </r>
  <r>
    <x v="40"/>
    <x v="8"/>
    <x v="8"/>
    <x v="2"/>
    <n v="5"/>
    <n v="60"/>
    <s v=" "/>
    <n v="60"/>
    <s v="-"/>
    <x v="1"/>
    <s v="10/13/2023"/>
    <n v="111900659"/>
    <n v="8754979113"/>
  </r>
  <r>
    <x v="40"/>
    <x v="280"/>
    <x v="263"/>
    <x v="99"/>
    <n v="20"/>
    <n v="40"/>
    <s v=" "/>
    <n v="40"/>
    <s v="-"/>
    <x v="1"/>
    <s v="10/11/2023"/>
    <n v="314977175"/>
    <n v="1800272855"/>
  </r>
  <r>
    <x v="40"/>
    <x v="144"/>
    <x v="37"/>
    <x v="30"/>
    <n v="3"/>
    <n v="62"/>
    <s v=" "/>
    <n v="62"/>
    <s v="-"/>
    <x v="1"/>
    <s v="10/31/2023"/>
    <n v="111900659"/>
    <n v="1007239476"/>
  </r>
  <r>
    <x v="40"/>
    <x v="145"/>
    <x v="139"/>
    <x v="67"/>
    <n v="7"/>
    <n v="53"/>
    <s v=" "/>
    <n v="53"/>
    <s v="-"/>
    <x v="1"/>
    <s v="10/11/2023"/>
    <n v="314977405"/>
    <n v="1800901554698"/>
  </r>
  <r>
    <x v="40"/>
    <x v="281"/>
    <x v="264"/>
    <x v="65"/>
    <n v="0"/>
    <n v="65"/>
    <s v=" "/>
    <n v="65"/>
    <s v="-"/>
    <x v="1"/>
    <s v="10/30/2023"/>
    <n v="314977175"/>
    <n v="288940"/>
  </r>
  <r>
    <x v="40"/>
    <x v="112"/>
    <x v="110"/>
    <x v="52"/>
    <n v="10"/>
    <n v="50"/>
    <s v=" "/>
    <n v="50"/>
    <s v="-"/>
    <x v="1"/>
    <s v="10/31/2023"/>
    <n v="314089681"/>
    <n v="199140275"/>
  </r>
  <r>
    <x v="40"/>
    <x v="153"/>
    <x v="147"/>
    <x v="30"/>
    <n v="20"/>
    <n v="20"/>
    <s v=" "/>
    <n v="20"/>
    <s v="-"/>
    <x v="1"/>
    <s v="10/31/2023"/>
    <n v="111900659"/>
    <n v="1007239476"/>
  </r>
  <r>
    <x v="40"/>
    <x v="282"/>
    <x v="265"/>
    <x v="24"/>
    <n v="5"/>
    <n v="55"/>
    <s v=" "/>
    <n v="55"/>
    <s v="-"/>
    <x v="1"/>
    <s v="10/11/2023"/>
    <n v="307084211"/>
    <s v="0009508340025"/>
  </r>
  <r>
    <x v="40"/>
    <x v="58"/>
    <x v="58"/>
    <x v="22"/>
    <n v="30"/>
    <n v="35"/>
    <s v=" "/>
    <n v="35"/>
    <s v="-"/>
    <x v="1"/>
    <s v="10/12/2023"/>
    <n v="314977405"/>
    <n v="901598282"/>
  </r>
  <r>
    <x v="40"/>
    <x v="154"/>
    <x v="148"/>
    <x v="57"/>
    <n v="22"/>
    <n v="38"/>
    <s v=" "/>
    <n v="38"/>
    <s v="-"/>
    <x v="1"/>
    <s v="10/31/2023"/>
    <n v="111000614"/>
    <n v="356579018"/>
  </r>
  <r>
    <x v="40"/>
    <x v="283"/>
    <x v="266"/>
    <x v="27"/>
    <n v="20"/>
    <n v="45"/>
    <s v=" "/>
    <n v="45"/>
    <s v="-"/>
    <x v="1"/>
    <s v="10/31/2023"/>
    <n v="111900659"/>
    <n v="5025887380"/>
  </r>
  <r>
    <x v="40"/>
    <x v="59"/>
    <x v="59"/>
    <x v="23"/>
    <n v="35"/>
    <n v="30"/>
    <s v=" "/>
    <n v="30"/>
    <s v="-"/>
    <x v="1"/>
    <s v="10/12/2023"/>
    <m/>
    <m/>
  </r>
  <r>
    <x v="40"/>
    <x v="284"/>
    <x v="267"/>
    <x v="63"/>
    <n v="20"/>
    <n v="40"/>
    <s v=" "/>
    <n v="40"/>
    <s v="-"/>
    <x v="1"/>
    <s v="10/11/2023"/>
    <n v="314977405"/>
    <n v="1800900435064"/>
  </r>
  <r>
    <x v="40"/>
    <x v="21"/>
    <x v="21"/>
    <x v="7"/>
    <n v="40"/>
    <n v="20"/>
    <s v=" "/>
    <n v="20"/>
    <s v="-"/>
    <x v="1"/>
    <s v="10/11/2023"/>
    <m/>
    <m/>
  </r>
  <r>
    <x v="40"/>
    <x v="61"/>
    <x v="61"/>
    <x v="24"/>
    <n v="20"/>
    <n v="45"/>
    <s v=" "/>
    <n v="45"/>
    <s v="-"/>
    <x v="1"/>
    <s v="10/11/2023"/>
    <n v="307084211"/>
    <s v="0009508340025"/>
  </r>
  <r>
    <x v="40"/>
    <x v="285"/>
    <x v="268"/>
    <x v="65"/>
    <n v="0"/>
    <n v="75"/>
    <s v=" "/>
    <n v="75"/>
    <s v="-"/>
    <x v="1"/>
    <s v="10/30/2023"/>
    <n v="314977175"/>
    <n v="288940"/>
  </r>
  <r>
    <x v="40"/>
    <x v="286"/>
    <x v="269"/>
    <x v="34"/>
    <n v="15"/>
    <n v="45"/>
    <s v=" "/>
    <n v="45"/>
    <s v="-"/>
    <x v="1"/>
    <s v="10/11/2023"/>
    <n v="314089681"/>
    <n v="225927393"/>
  </r>
  <r>
    <x v="40"/>
    <x v="287"/>
    <x v="270"/>
    <x v="31"/>
    <n v="15"/>
    <n v="50"/>
    <s v=" "/>
    <n v="50"/>
    <s v="-"/>
    <x v="1"/>
    <s v="10/31/2023"/>
    <n v="111000614"/>
    <n v="1559897432"/>
  </r>
  <r>
    <x v="40"/>
    <x v="14"/>
    <x v="14"/>
    <x v="2"/>
    <n v="12"/>
    <n v="48"/>
    <s v=" "/>
    <n v="48"/>
    <s v="-"/>
    <x v="1"/>
    <s v="10/13/2023"/>
    <n v="111900659"/>
    <n v="8754979113"/>
  </r>
  <r>
    <x v="40"/>
    <x v="15"/>
    <x v="15"/>
    <x v="2"/>
    <n v="20"/>
    <n v="45"/>
    <s v=" "/>
    <n v="45"/>
    <s v="-"/>
    <x v="1"/>
    <s v="10/13/2023"/>
    <n v="111900659"/>
    <n v="8754979113"/>
  </r>
  <r>
    <x v="40"/>
    <x v="288"/>
    <x v="271"/>
    <x v="23"/>
    <n v="20"/>
    <n v="45"/>
    <s v=" "/>
    <n v="45"/>
    <s v="-"/>
    <x v="1"/>
    <s v="10/12/2023"/>
    <m/>
    <m/>
  </r>
  <r>
    <x v="40"/>
    <x v="289"/>
    <x v="272"/>
    <x v="54"/>
    <n v="15"/>
    <n v="45"/>
    <s v=" "/>
    <n v="45"/>
    <s v="-"/>
    <x v="1"/>
    <s v="10/31/2023"/>
    <n v="114000093"/>
    <n v="584219511"/>
  </r>
  <r>
    <x v="40"/>
    <x v="290"/>
    <x v="273"/>
    <x v="50"/>
    <n v="65"/>
    <n v="35"/>
    <s v=" "/>
    <n v="35"/>
    <s v="-"/>
    <x v="1"/>
    <s v="10/11/2023"/>
    <n v="121042882"/>
    <n v="7518769067"/>
  </r>
  <r>
    <x v="40"/>
    <x v="291"/>
    <x v="274"/>
    <x v="67"/>
    <n v="10"/>
    <n v="50"/>
    <s v=" "/>
    <n v="50"/>
    <s v="-"/>
    <x v="1"/>
    <s v="10/11/2023"/>
    <n v="314977405"/>
    <n v="1800901554698"/>
  </r>
  <r>
    <x v="40"/>
    <x v="292"/>
    <x v="275"/>
    <x v="103"/>
    <n v="16"/>
    <n v="44"/>
    <s v=" "/>
    <n v="44"/>
    <s v="-"/>
    <x v="1"/>
    <s v="10/18/2023"/>
    <n v="111900659"/>
    <n v="8882521811"/>
  </r>
  <r>
    <x v="40"/>
    <x v="293"/>
    <x v="276"/>
    <x v="13"/>
    <n v="30"/>
    <n v="30"/>
    <s v=" "/>
    <n v="30"/>
    <s v="-"/>
    <x v="1"/>
    <s v="10/11/2023"/>
    <m/>
    <m/>
  </r>
  <r>
    <x v="40"/>
    <x v="161"/>
    <x v="155"/>
    <x v="57"/>
    <n v="30"/>
    <n v="30"/>
    <s v=" "/>
    <n v="30"/>
    <s v="-"/>
    <x v="1"/>
    <s v="10/31/2023"/>
    <n v="111000614"/>
    <n v="356579018"/>
  </r>
  <r>
    <x v="40"/>
    <x v="294"/>
    <x v="204"/>
    <x v="104"/>
    <n v="30"/>
    <n v="35"/>
    <s v=" "/>
    <n v="35"/>
    <s v="-"/>
    <x v="1"/>
    <s v="10/11/2023"/>
    <n v="314977405"/>
    <n v="1810901573859"/>
  </r>
  <r>
    <x v="40"/>
    <x v="167"/>
    <x v="161"/>
    <x v="20"/>
    <n v="35"/>
    <n v="40"/>
    <s v=" "/>
    <n v="40"/>
    <s v="-"/>
    <x v="1"/>
    <s v="10/11/2023"/>
    <n v="314089681"/>
    <n v="188736177"/>
  </r>
  <r>
    <x v="40"/>
    <x v="46"/>
    <x v="46"/>
    <x v="15"/>
    <n v="20"/>
    <n v="45"/>
    <s v=" "/>
    <n v="45"/>
    <s v="-"/>
    <x v="1"/>
    <s v="10/17/2023"/>
    <n v="111000614"/>
    <n v="667133828"/>
  </r>
  <r>
    <x v="40"/>
    <x v="170"/>
    <x v="164"/>
    <x v="25"/>
    <n v="0"/>
    <n v="65"/>
    <s v=" "/>
    <n v="65"/>
    <s v="-"/>
    <x v="1"/>
    <s v="10/11/2023"/>
    <n v="314977133"/>
    <n v="2009789120"/>
  </r>
  <r>
    <x v="40"/>
    <x v="295"/>
    <x v="277"/>
    <x v="31"/>
    <n v="0"/>
    <n v="65"/>
    <n v="10"/>
    <n v="75"/>
    <s v="-"/>
    <x v="1"/>
    <s v="10/31/2023"/>
    <n v="111000614"/>
    <n v="1559897432"/>
  </r>
  <r>
    <x v="40"/>
    <x v="296"/>
    <x v="278"/>
    <x v="85"/>
    <n v="20"/>
    <n v="45"/>
    <s v=" "/>
    <n v="45"/>
    <s v="-"/>
    <x v="1"/>
    <s v="10/11/2023"/>
    <n v="111900659"/>
    <n v="1735145326"/>
  </r>
  <r>
    <x v="41"/>
    <x v="297"/>
    <x v="279"/>
    <x v="81"/>
    <n v="25"/>
    <n v="40"/>
    <n v="10"/>
    <n v="50"/>
    <s v="-"/>
    <x v="1"/>
    <s v="10/12/2023"/>
    <n v="111901056"/>
    <n v="1122756693"/>
  </r>
  <r>
    <x v="41"/>
    <x v="298"/>
    <x v="280"/>
    <x v="31"/>
    <n v="15"/>
    <n v="45"/>
    <s v=" "/>
    <n v="45"/>
    <s v="-"/>
    <x v="1"/>
    <s v="10/31/2023"/>
    <n v="111000614"/>
    <n v="1559897432"/>
  </r>
  <r>
    <x v="41"/>
    <x v="105"/>
    <x v="103"/>
    <x v="31"/>
    <n v="20"/>
    <n v="40"/>
    <s v=" "/>
    <n v="40"/>
    <s v="-"/>
    <x v="1"/>
    <s v="10/31/2023"/>
    <n v="111000614"/>
    <n v="1559897432"/>
  </r>
  <r>
    <x v="41"/>
    <x v="299"/>
    <x v="281"/>
    <x v="56"/>
    <n v="11"/>
    <n v="49"/>
    <s v=" "/>
    <n v="49"/>
    <s v="-"/>
    <x v="1"/>
    <s v="10/12/2023"/>
    <n v="114926012"/>
    <n v="1104269"/>
  </r>
  <r>
    <x v="41"/>
    <x v="181"/>
    <x v="174"/>
    <x v="77"/>
    <n v="0"/>
    <n v="65"/>
    <s v=" "/>
    <n v="65"/>
    <s v="-"/>
    <x v="0"/>
    <s v="10/31/2023"/>
    <s v="071921891"/>
    <n v="4952904048"/>
  </r>
  <r>
    <x v="41"/>
    <x v="300"/>
    <x v="282"/>
    <x v="56"/>
    <n v="5"/>
    <n v="55"/>
    <s v=" "/>
    <n v="55"/>
    <s v="-"/>
    <x v="1"/>
    <s v="10/12/2023"/>
    <n v="114926012"/>
    <n v="1104269"/>
  </r>
  <r>
    <x v="41"/>
    <x v="301"/>
    <x v="283"/>
    <x v="77"/>
    <n v="10"/>
    <n v="55"/>
    <s v=" "/>
    <n v="55"/>
    <s v="-"/>
    <x v="1"/>
    <s v="10/31/2023"/>
    <s v="071921891"/>
    <n v="4952904048"/>
  </r>
  <r>
    <x v="41"/>
    <x v="183"/>
    <x v="176"/>
    <x v="78"/>
    <n v="10"/>
    <n v="55"/>
    <s v=" "/>
    <n v="55"/>
    <s v="-"/>
    <x v="1"/>
    <s v="10/12/2023"/>
    <n v="314977175"/>
    <n v="1800272855"/>
  </r>
  <r>
    <x v="41"/>
    <x v="302"/>
    <x v="284"/>
    <x v="71"/>
    <n v="1"/>
    <n v="64"/>
    <s v=" "/>
    <n v="64"/>
    <s v="-"/>
    <x v="1"/>
    <s v="10/30/2023"/>
    <m/>
    <m/>
  </r>
  <r>
    <x v="41"/>
    <x v="303"/>
    <x v="285"/>
    <x v="75"/>
    <n v="30"/>
    <n v="35"/>
    <n v="10"/>
    <n v="45"/>
    <s v="-"/>
    <x v="1"/>
    <s v="10/12/2023"/>
    <n v="111900659"/>
    <n v="3138108349"/>
  </r>
  <r>
    <x v="41"/>
    <x v="23"/>
    <x v="23"/>
    <x v="2"/>
    <n v="10"/>
    <n v="55"/>
    <s v=" "/>
    <n v="55"/>
    <s v="-"/>
    <x v="1"/>
    <s v="10/13/2023"/>
    <n v="111900659"/>
    <n v="8754979113"/>
  </r>
  <r>
    <x v="41"/>
    <x v="304"/>
    <x v="286"/>
    <x v="58"/>
    <n v="5"/>
    <n v="60"/>
    <s v=" "/>
    <n v="60"/>
    <s v="-"/>
    <x v="1"/>
    <s v="10/14/2023"/>
    <n v="314977405"/>
    <n v="900931267"/>
  </r>
  <r>
    <x v="41"/>
    <x v="305"/>
    <x v="287"/>
    <x v="71"/>
    <n v="10"/>
    <n v="50"/>
    <s v=" "/>
    <n v="50"/>
    <s v="-"/>
    <x v="1"/>
    <s v="10/30/2023"/>
    <m/>
    <m/>
  </r>
  <r>
    <x v="41"/>
    <x v="212"/>
    <x v="202"/>
    <x v="13"/>
    <n v="10"/>
    <n v="55"/>
    <s v=" "/>
    <n v="55"/>
    <s v="-"/>
    <x v="1"/>
    <s v="10/12/2023"/>
    <m/>
    <m/>
  </r>
  <r>
    <x v="41"/>
    <x v="306"/>
    <x v="288"/>
    <x v="33"/>
    <n v="15"/>
    <n v="45"/>
    <s v=" "/>
    <n v="45"/>
    <s v="-"/>
    <x v="1"/>
    <s v="10/12/2023"/>
    <n v="111900659"/>
    <n v="3805508938"/>
  </r>
  <r>
    <x v="41"/>
    <x v="185"/>
    <x v="178"/>
    <x v="79"/>
    <n v="35"/>
    <n v="25"/>
    <s v=" "/>
    <n v="25"/>
    <s v="-"/>
    <x v="1"/>
    <s v="10/12/2023"/>
    <n v="314977405"/>
    <n v="1800901394915"/>
  </r>
  <r>
    <x v="41"/>
    <x v="307"/>
    <x v="289"/>
    <x v="52"/>
    <n v="30"/>
    <n v="30"/>
    <s v=" "/>
    <n v="30"/>
    <s v="-"/>
    <x v="1"/>
    <s v="10/31/2023"/>
    <n v="314089681"/>
    <n v="199140275"/>
  </r>
  <r>
    <x v="41"/>
    <x v="308"/>
    <x v="290"/>
    <x v="52"/>
    <n v="16"/>
    <n v="49"/>
    <s v=" "/>
    <n v="49"/>
    <s v="-"/>
    <x v="1"/>
    <s v="10/31/2023"/>
    <n v="314089681"/>
    <n v="199140275"/>
  </r>
  <r>
    <x v="41"/>
    <x v="309"/>
    <x v="291"/>
    <x v="77"/>
    <n v="20"/>
    <n v="40"/>
    <s v=" "/>
    <n v="40"/>
    <s v="-"/>
    <x v="1"/>
    <s v="10/31/2023"/>
    <s v="071921891"/>
    <n v="4952904048"/>
  </r>
  <r>
    <x v="41"/>
    <x v="310"/>
    <x v="292"/>
    <x v="66"/>
    <n v="30"/>
    <n v="30"/>
    <s v=" "/>
    <n v="30"/>
    <s v="-"/>
    <x v="1"/>
    <s v="10/30/2023"/>
    <n v="314977405"/>
    <n v="1830900455112"/>
  </r>
  <r>
    <x v="41"/>
    <x v="311"/>
    <x v="293"/>
    <x v="54"/>
    <n v="40"/>
    <n v="20"/>
    <s v=" "/>
    <n v="20"/>
    <s v="-"/>
    <x v="1"/>
    <s v="10/31/2023"/>
    <n v="114000093"/>
    <n v="584219511"/>
  </r>
  <r>
    <x v="41"/>
    <x v="312"/>
    <x v="294"/>
    <x v="37"/>
    <n v="15"/>
    <n v="45"/>
    <s v=" "/>
    <n v="45"/>
    <s v="-"/>
    <x v="1"/>
    <s v="10/16/2023"/>
    <n v="314977405"/>
    <n v="1800900316243"/>
  </r>
  <r>
    <x v="41"/>
    <x v="313"/>
    <x v="295"/>
    <x v="57"/>
    <n v="11"/>
    <n v="54"/>
    <s v=" "/>
    <n v="54"/>
    <s v="-"/>
    <x v="1"/>
    <s v="10/31/2023"/>
    <n v="111000614"/>
    <n v="356579018"/>
  </r>
  <r>
    <x v="41"/>
    <x v="314"/>
    <x v="296"/>
    <x v="70"/>
    <n v="15"/>
    <n v="45"/>
    <s v=" "/>
    <n v="45"/>
    <s v="-"/>
    <x v="1"/>
    <s v="10/12/2023"/>
    <n v="111000614"/>
    <n v="637882736"/>
  </r>
  <r>
    <x v="41"/>
    <x v="41"/>
    <x v="41"/>
    <x v="2"/>
    <n v="20"/>
    <n v="40"/>
    <s v=" "/>
    <n v="40"/>
    <s v="-"/>
    <x v="1"/>
    <s v="10/13/2023"/>
    <n v="111900659"/>
    <n v="8754979113"/>
  </r>
  <r>
    <x v="41"/>
    <x v="315"/>
    <x v="297"/>
    <x v="105"/>
    <n v="5"/>
    <n v="60"/>
    <s v=" "/>
    <n v="60"/>
    <s v="-"/>
    <x v="1"/>
    <s v="10/29/2023"/>
    <n v="314977175"/>
    <n v="1800272855"/>
  </r>
  <r>
    <x v="41"/>
    <x v="316"/>
    <x v="298"/>
    <x v="89"/>
    <n v="35"/>
    <n v="30"/>
    <n v="10"/>
    <n v="40"/>
    <s v="-"/>
    <x v="1"/>
    <s v="10/13/2023"/>
    <n v="125109019"/>
    <n v="875103061318"/>
  </r>
  <r>
    <x v="41"/>
    <x v="317"/>
    <x v="299"/>
    <x v="67"/>
    <n v="20"/>
    <n v="40"/>
    <s v=" "/>
    <n v="40"/>
    <s v="-"/>
    <x v="1"/>
    <s v="10/12/2023"/>
    <n v="314977405"/>
    <n v="1800901554698"/>
  </r>
  <r>
    <x v="41"/>
    <x v="202"/>
    <x v="195"/>
    <x v="50"/>
    <n v="10"/>
    <n v="50"/>
    <s v=" "/>
    <n v="50"/>
    <s v="-"/>
    <x v="1"/>
    <s v="10/12/2023"/>
    <n v="121042882"/>
    <n v="7518769067"/>
  </r>
  <r>
    <x v="41"/>
    <x v="318"/>
    <x v="271"/>
    <x v="54"/>
    <n v="15"/>
    <n v="45"/>
    <s v=" "/>
    <n v="45"/>
    <s v="-"/>
    <x v="1"/>
    <s v="10/31/2023"/>
    <n v="114000093"/>
    <n v="584219511"/>
  </r>
  <r>
    <x v="41"/>
    <x v="163"/>
    <x v="157"/>
    <x v="47"/>
    <n v="30"/>
    <n v="35"/>
    <s v=" "/>
    <n v="35"/>
    <s v="-"/>
    <x v="0"/>
    <s v="10/19/2023"/>
    <n v="314088572"/>
    <n v="1588864"/>
  </r>
  <r>
    <x v="41"/>
    <x v="62"/>
    <x v="62"/>
    <x v="25"/>
    <n v="35"/>
    <n v="25"/>
    <s v=" "/>
    <n v="25"/>
    <s v="-"/>
    <x v="1"/>
    <s v="10/25/2023"/>
    <n v="314977133"/>
    <n v="2009789120"/>
  </r>
  <r>
    <x v="41"/>
    <x v="203"/>
    <x v="196"/>
    <x v="85"/>
    <n v="20"/>
    <n v="45"/>
    <s v=" "/>
    <n v="45"/>
    <s v="-"/>
    <x v="1"/>
    <s v="10/12/2023"/>
    <n v="111900659"/>
    <n v="1735145326"/>
  </r>
  <r>
    <x v="41"/>
    <x v="319"/>
    <x v="300"/>
    <x v="81"/>
    <n v="20"/>
    <n v="45"/>
    <s v=" "/>
    <n v="45"/>
    <s v="-"/>
    <x v="1"/>
    <s v="10/12/2023"/>
    <n v="111901056"/>
    <n v="1122756693"/>
  </r>
  <r>
    <x v="41"/>
    <x v="320"/>
    <x v="301"/>
    <x v="8"/>
    <n v="35"/>
    <n v="30"/>
    <n v="10"/>
    <n v="40"/>
    <s v="-"/>
    <x v="1"/>
    <s v="10/20/2023"/>
    <n v="111000614"/>
    <n v="982027275"/>
  </r>
  <r>
    <x v="42"/>
    <x v="208"/>
    <x v="199"/>
    <x v="89"/>
    <n v="65"/>
    <n v="0"/>
    <s v=" "/>
    <n v="0"/>
    <s v="-"/>
    <x v="1"/>
    <s v="10/13/2023"/>
    <n v="125109019"/>
    <n v="875103061318"/>
  </r>
  <r>
    <x v="42"/>
    <x v="321"/>
    <x v="302"/>
    <x v="40"/>
    <n v="20"/>
    <n v="45"/>
    <s v=" "/>
    <n v="45"/>
    <s v="-"/>
    <x v="1"/>
    <s v="10/13/2023"/>
    <n v="314977175"/>
    <n v="1800062621"/>
  </r>
  <r>
    <x v="42"/>
    <x v="322"/>
    <x v="303"/>
    <x v="106"/>
    <n v="55"/>
    <n v="5"/>
    <s v=" "/>
    <n v="5"/>
    <s v="-"/>
    <x v="1"/>
    <s v="10/13/2023"/>
    <n v="111000614"/>
    <n v="964468169"/>
  </r>
  <r>
    <x v="42"/>
    <x v="323"/>
    <x v="217"/>
    <x v="65"/>
    <n v="30"/>
    <n v="35"/>
    <s v=" "/>
    <n v="35"/>
    <s v="-"/>
    <x v="1"/>
    <s v="10/30/2023"/>
    <n v="314977175"/>
    <n v="288940"/>
  </r>
  <r>
    <x v="42"/>
    <x v="211"/>
    <x v="201"/>
    <x v="90"/>
    <n v="20"/>
    <n v="45"/>
    <s v=" "/>
    <n v="45"/>
    <s v="-"/>
    <x v="1"/>
    <s v="10/13/2023"/>
    <n v="111000025"/>
    <n v="488111335590"/>
  </r>
  <r>
    <x v="42"/>
    <x v="324"/>
    <x v="304"/>
    <x v="54"/>
    <n v="26"/>
    <n v="34"/>
    <s v=" "/>
    <n v="34"/>
    <s v="-"/>
    <x v="1"/>
    <s v="10/31/2023"/>
    <n v="114000093"/>
    <n v="584219511"/>
  </r>
  <r>
    <x v="42"/>
    <x v="65"/>
    <x v="65"/>
    <x v="26"/>
    <n v="20"/>
    <n v="45"/>
    <s v=" "/>
    <n v="45"/>
    <s v="-"/>
    <x v="1"/>
    <s v="10/13/2023"/>
    <m/>
    <m/>
  </r>
  <r>
    <x v="42"/>
    <x v="325"/>
    <x v="305"/>
    <x v="54"/>
    <n v="10"/>
    <n v="55"/>
    <s v=" "/>
    <n v="55"/>
    <s v="-"/>
    <x v="1"/>
    <s v="10/31/2023"/>
    <n v="114000093"/>
    <n v="584219511"/>
  </r>
  <r>
    <x v="42"/>
    <x v="326"/>
    <x v="306"/>
    <x v="54"/>
    <n v="35"/>
    <n v="25"/>
    <s v=" "/>
    <n v="25"/>
    <s v="-"/>
    <x v="1"/>
    <s v="10/31/2023"/>
    <n v="114000093"/>
    <n v="584219511"/>
  </r>
  <r>
    <x v="42"/>
    <x v="201"/>
    <x v="194"/>
    <x v="45"/>
    <n v="30"/>
    <n v="30"/>
    <s v=" "/>
    <n v="30"/>
    <s v="-"/>
    <x v="1"/>
    <s v="10/14/2023"/>
    <n v="314977405"/>
    <n v="1800900913423"/>
  </r>
  <r>
    <x v="42"/>
    <x v="17"/>
    <x v="17"/>
    <x v="6"/>
    <n v="0"/>
    <n v="65"/>
    <s v=" "/>
    <n v="65"/>
    <s v="-"/>
    <x v="1"/>
    <s v="10/20/2023"/>
    <n v="111000614"/>
    <n v="791103770"/>
  </r>
  <r>
    <x v="42"/>
    <x v="327"/>
    <x v="307"/>
    <x v="46"/>
    <n v="10"/>
    <n v="55"/>
    <s v=" "/>
    <n v="55"/>
    <s v="-"/>
    <x v="1"/>
    <s v="10/13/2023"/>
    <n v="111900659"/>
    <n v="2232144119"/>
  </r>
  <r>
    <x v="42"/>
    <x v="68"/>
    <x v="68"/>
    <x v="27"/>
    <n v="25"/>
    <n v="40"/>
    <s v=" "/>
    <n v="40"/>
    <s v="-"/>
    <x v="1"/>
    <s v="10/31/2023"/>
    <n v="111900659"/>
    <n v="5025887380"/>
  </r>
  <r>
    <x v="43"/>
    <x v="54"/>
    <x v="54"/>
    <x v="19"/>
    <n v="10"/>
    <n v="50"/>
    <s v=" "/>
    <n v="50"/>
    <s v="-"/>
    <x v="1"/>
    <s v="10/24/2023"/>
    <n v="314977405"/>
    <n v="1800901526873"/>
  </r>
  <r>
    <x v="43"/>
    <x v="248"/>
    <x v="236"/>
    <x v="35"/>
    <n v="35"/>
    <n v="40"/>
    <s v=" "/>
    <n v="40"/>
    <s v="-"/>
    <x v="1"/>
    <s v="10/28/2023"/>
    <n v="314977340"/>
    <s v="0002365982"/>
  </r>
  <r>
    <x v="43"/>
    <x v="215"/>
    <x v="205"/>
    <x v="45"/>
    <n v="11"/>
    <n v="49"/>
    <s v=" "/>
    <n v="49"/>
    <s v="-"/>
    <x v="1"/>
    <s v="10/14/2023"/>
    <n v="314977405"/>
    <n v="1800900913423"/>
  </r>
  <r>
    <x v="43"/>
    <x v="219"/>
    <x v="209"/>
    <x v="58"/>
    <n v="10"/>
    <n v="50"/>
    <s v=" "/>
    <n v="50"/>
    <s v="-"/>
    <x v="1"/>
    <s v="10/14/2023"/>
    <n v="314977405"/>
    <n v="900931267"/>
  </r>
  <r>
    <x v="43"/>
    <x v="67"/>
    <x v="67"/>
    <x v="19"/>
    <n v="30"/>
    <n v="35"/>
    <s v=" "/>
    <n v="35"/>
    <s v="-"/>
    <x v="1"/>
    <s v="10/24/2023"/>
    <n v="314977405"/>
    <n v="1800901526873"/>
  </r>
  <r>
    <x v="44"/>
    <x v="328"/>
    <x v="308"/>
    <x v="32"/>
    <n v="20"/>
    <n v="45"/>
    <s v=" "/>
    <n v="45"/>
    <s v="-"/>
    <x v="1"/>
    <s v="10/15/2023"/>
    <n v="256074974"/>
    <n v="7091445424"/>
  </r>
  <r>
    <x v="44"/>
    <x v="73"/>
    <x v="73"/>
    <x v="32"/>
    <n v="11"/>
    <n v="49"/>
    <s v=" "/>
    <n v="49"/>
    <s v="-"/>
    <x v="1"/>
    <s v="10/22/2023"/>
    <n v="256074974"/>
    <n v="7091445424"/>
  </r>
  <r>
    <x v="44"/>
    <x v="74"/>
    <x v="74"/>
    <x v="32"/>
    <n v="65"/>
    <n v="0"/>
    <s v=" "/>
    <n v="0"/>
    <s v="-"/>
    <x v="1"/>
    <s v="10/15/2023"/>
    <n v="256074974"/>
    <n v="7091445424"/>
  </r>
  <r>
    <x v="44"/>
    <x v="329"/>
    <x v="309"/>
    <x v="29"/>
    <n v="25"/>
    <n v="35"/>
    <s v=" "/>
    <n v="35"/>
    <s v="-"/>
    <x v="1"/>
    <s v="10/15/2023"/>
    <s v="071921891"/>
    <n v="4952187173"/>
  </r>
  <r>
    <x v="44"/>
    <x v="76"/>
    <x v="76"/>
    <x v="32"/>
    <n v="10"/>
    <n v="50"/>
    <s v=" "/>
    <n v="50"/>
    <s v="-"/>
    <x v="1"/>
    <s v="10/15/2023"/>
    <n v="256074974"/>
    <n v="7091445424"/>
  </r>
  <r>
    <x v="44"/>
    <x v="330"/>
    <x v="310"/>
    <x v="29"/>
    <n v="10"/>
    <n v="50"/>
    <s v=" "/>
    <n v="50"/>
    <s v="-"/>
    <x v="1"/>
    <s v="10/15/2023"/>
    <s v="071921891"/>
    <n v="4952187173"/>
  </r>
  <r>
    <x v="44"/>
    <x v="77"/>
    <x v="77"/>
    <x v="29"/>
    <n v="10"/>
    <n v="55"/>
    <s v=" "/>
    <n v="55"/>
    <s v="-"/>
    <x v="1"/>
    <s v="10/15/2023"/>
    <s v="071921891"/>
    <n v="4952187173"/>
  </r>
  <r>
    <x v="45"/>
    <x v="79"/>
    <x v="79"/>
    <x v="28"/>
    <n v="40"/>
    <n v="20"/>
    <s v=" "/>
    <n v="20"/>
    <s v="-"/>
    <x v="1"/>
    <s v="10/16/2023"/>
    <n v="314977133"/>
    <n v="2009446390"/>
  </r>
  <r>
    <x v="45"/>
    <x v="2"/>
    <x v="2"/>
    <x v="1"/>
    <n v="45"/>
    <n v="20"/>
    <s v=" "/>
    <n v="20"/>
    <s v="-"/>
    <x v="1"/>
    <s v="10/31/2023"/>
    <n v="111900659"/>
    <s v="0194510160"/>
  </r>
  <r>
    <x v="45"/>
    <x v="331"/>
    <x v="311"/>
    <x v="102"/>
    <n v="21"/>
    <n v="39"/>
    <s v=" "/>
    <n v="39"/>
    <s v="-"/>
    <x v="1"/>
    <s v="10/16/2023"/>
    <n v="314089681"/>
    <s v="09749914"/>
  </r>
  <r>
    <x v="45"/>
    <x v="80"/>
    <x v="80"/>
    <x v="34"/>
    <n v="10"/>
    <n v="50"/>
    <s v=" "/>
    <n v="50"/>
    <s v="-"/>
    <x v="0"/>
    <s v="10/16/2023"/>
    <n v="314089681"/>
    <n v="225927393"/>
  </r>
  <r>
    <x v="45"/>
    <x v="81"/>
    <x v="81"/>
    <x v="33"/>
    <n v="15"/>
    <n v="50"/>
    <s v=" "/>
    <n v="50"/>
    <s v="-"/>
    <x v="1"/>
    <s v="10/16/2023"/>
    <n v="111900659"/>
    <n v="3805508938"/>
  </r>
  <r>
    <x v="45"/>
    <x v="3"/>
    <x v="3"/>
    <x v="1"/>
    <n v="60"/>
    <n v="0"/>
    <s v=" "/>
    <n v="0"/>
    <s v="-"/>
    <x v="1"/>
    <s v="10/31/2023"/>
    <n v="111900659"/>
    <s v="0194510160"/>
  </r>
  <r>
    <x v="45"/>
    <x v="140"/>
    <x v="135"/>
    <x v="65"/>
    <n v="10"/>
    <n v="50"/>
    <s v=" "/>
    <n v="50"/>
    <s v="-"/>
    <x v="1"/>
    <s v="10/30/2023"/>
    <n v="314977175"/>
    <n v="288940"/>
  </r>
  <r>
    <x v="45"/>
    <x v="332"/>
    <x v="312"/>
    <x v="37"/>
    <n v="65"/>
    <n v="0"/>
    <s v=" "/>
    <n v="0"/>
    <s v="-"/>
    <x v="1"/>
    <s v="10/16/2023"/>
    <n v="314977405"/>
    <n v="1800900316243"/>
  </r>
  <r>
    <x v="45"/>
    <x v="333"/>
    <x v="313"/>
    <x v="107"/>
    <n v="28"/>
    <n v="37"/>
    <n v="10"/>
    <n v="47"/>
    <s v="-"/>
    <x v="1"/>
    <s v="10/16/2023"/>
    <n v="314074269"/>
    <n v="16967364"/>
  </r>
  <r>
    <x v="45"/>
    <x v="84"/>
    <x v="84"/>
    <x v="37"/>
    <n v="20"/>
    <n v="40"/>
    <s v=" "/>
    <n v="40"/>
    <s v="-"/>
    <x v="1"/>
    <s v="10/16/2023"/>
    <n v="314977405"/>
    <n v="1800900316243"/>
  </r>
  <r>
    <x v="45"/>
    <x v="151"/>
    <x v="145"/>
    <x v="70"/>
    <n v="15"/>
    <n v="45"/>
    <s v=" "/>
    <n v="45"/>
    <s v="-"/>
    <x v="1"/>
    <s v="10/16/2023"/>
    <n v="111000614"/>
    <n v="637882736"/>
  </r>
  <r>
    <x v="45"/>
    <x v="114"/>
    <x v="16"/>
    <x v="36"/>
    <n v="30"/>
    <n v="35"/>
    <s v=" "/>
    <n v="35"/>
    <s v="-"/>
    <x v="1"/>
    <s v="10/31/2023"/>
    <n v="113010547"/>
    <s v="01089622"/>
  </r>
  <r>
    <x v="45"/>
    <x v="85"/>
    <x v="85"/>
    <x v="38"/>
    <n v="10"/>
    <n v="55"/>
    <s v=" "/>
    <n v="55"/>
    <s v="-"/>
    <x v="1"/>
    <s v="10/16/2023"/>
    <n v="111900659"/>
    <n v="6443870164"/>
  </r>
  <r>
    <x v="45"/>
    <x v="11"/>
    <x v="11"/>
    <x v="4"/>
    <n v="32"/>
    <n v="33"/>
    <s v=" "/>
    <n v="33"/>
    <s v="-"/>
    <x v="1"/>
    <s v="10/26/2023"/>
    <m/>
    <m/>
  </r>
  <r>
    <x v="45"/>
    <x v="334"/>
    <x v="314"/>
    <x v="69"/>
    <n v="50"/>
    <n v="10"/>
    <s v=" "/>
    <n v="10"/>
    <s v="-"/>
    <x v="1"/>
    <s v="10/17/2023"/>
    <n v="111000614"/>
    <n v="876677332"/>
  </r>
  <r>
    <x v="45"/>
    <x v="335"/>
    <x v="315"/>
    <x v="52"/>
    <n v="15"/>
    <n v="45"/>
    <s v=" "/>
    <n v="45"/>
    <s v="-"/>
    <x v="1"/>
    <s v="10/31/2023"/>
    <n v="314089681"/>
    <n v="199140275"/>
  </r>
  <r>
    <x v="45"/>
    <x v="336"/>
    <x v="316"/>
    <x v="73"/>
    <n v="31"/>
    <n v="34"/>
    <s v=" "/>
    <n v="34"/>
    <s v="-"/>
    <x v="1"/>
    <s v="10/16/2023"/>
    <n v="114000093"/>
    <n v="591108441"/>
  </r>
  <r>
    <x v="45"/>
    <x v="337"/>
    <x v="234"/>
    <x v="108"/>
    <n v="15"/>
    <n v="45"/>
    <s v=" "/>
    <n v="45"/>
    <s v="-"/>
    <x v="1"/>
    <s v="10/16/2023"/>
    <n v="114926012"/>
    <n v="1102400"/>
  </r>
  <r>
    <x v="45"/>
    <x v="88"/>
    <x v="88"/>
    <x v="41"/>
    <n v="10"/>
    <n v="50"/>
    <s v=" "/>
    <n v="50"/>
    <s v="-"/>
    <x v="1"/>
    <s v="10/16/2023"/>
    <n v="113000023"/>
    <n v="586034246778"/>
  </r>
  <r>
    <x v="45"/>
    <x v="45"/>
    <x v="45"/>
    <x v="4"/>
    <n v="30"/>
    <n v="30"/>
    <s v=" "/>
    <n v="30"/>
    <s v="-"/>
    <x v="1"/>
    <s v="10/26/2023"/>
    <m/>
    <m/>
  </r>
  <r>
    <x v="45"/>
    <x v="89"/>
    <x v="89"/>
    <x v="33"/>
    <n v="22"/>
    <n v="43"/>
    <s v=" "/>
    <n v="43"/>
    <s v="-"/>
    <x v="1"/>
    <s v="10/16/2023"/>
    <n v="111900659"/>
    <n v="3805508938"/>
  </r>
  <r>
    <x v="45"/>
    <x v="90"/>
    <x v="90"/>
    <x v="42"/>
    <n v="35"/>
    <n v="30"/>
    <s v=" "/>
    <n v="30"/>
    <s v="-"/>
    <x v="1"/>
    <s v="10/16/2023"/>
    <n v="111900659"/>
    <n v="2415203955"/>
  </r>
  <r>
    <x v="45"/>
    <x v="91"/>
    <x v="91"/>
    <x v="43"/>
    <n v="0"/>
    <n v="65"/>
    <s v=" "/>
    <n v="65"/>
    <s v="-"/>
    <x v="1"/>
    <s v="10/16/2023"/>
    <n v="114993906"/>
    <s v="009165659357"/>
  </r>
  <r>
    <x v="45"/>
    <x v="196"/>
    <x v="189"/>
    <x v="83"/>
    <n v="30"/>
    <n v="30"/>
    <s v=" "/>
    <n v="30"/>
    <s v="-"/>
    <x v="1"/>
    <s v="10/18/2023"/>
    <n v="314977405"/>
    <n v="1800900499734"/>
  </r>
  <r>
    <x v="45"/>
    <x v="94"/>
    <x v="94"/>
    <x v="24"/>
    <n v="25"/>
    <n v="35"/>
    <s v=" "/>
    <n v="35"/>
    <s v="-"/>
    <x v="1"/>
    <s v="10/18/2023"/>
    <n v="307084211"/>
    <s v="0009508340025"/>
  </r>
  <r>
    <x v="45"/>
    <x v="95"/>
    <x v="79"/>
    <x v="31"/>
    <n v="36"/>
    <n v="24"/>
    <s v=" "/>
    <n v="24"/>
    <s v="-"/>
    <x v="1"/>
    <s v="10/31/2023"/>
    <n v="111000614"/>
    <n v="1559897432"/>
  </r>
  <r>
    <x v="45"/>
    <x v="42"/>
    <x v="42"/>
    <x v="12"/>
    <n v="15"/>
    <n v="50"/>
    <s v=" "/>
    <n v="50"/>
    <s v="-"/>
    <x v="1"/>
    <s v="10/30/2023"/>
    <n v="111900659"/>
    <n v="8721262510"/>
  </r>
  <r>
    <x v="45"/>
    <x v="96"/>
    <x v="95"/>
    <x v="46"/>
    <n v="15"/>
    <n v="45"/>
    <s v=" "/>
    <n v="45"/>
    <s v="-"/>
    <x v="1"/>
    <s v="10/16/2023"/>
    <n v="111900659"/>
    <n v="2232144119"/>
  </r>
  <r>
    <x v="45"/>
    <x v="338"/>
    <x v="317"/>
    <x v="106"/>
    <n v="21"/>
    <n v="39"/>
    <s v=" "/>
    <n v="39"/>
    <s v="-"/>
    <x v="1"/>
    <s v="10/16/2023"/>
    <n v="111000614"/>
    <n v="964468169"/>
  </r>
  <r>
    <x v="45"/>
    <x v="126"/>
    <x v="122"/>
    <x v="60"/>
    <n v="10"/>
    <n v="55"/>
    <s v=" "/>
    <n v="55"/>
    <s v="-"/>
    <x v="1"/>
    <s v="10/16/2023"/>
    <s v="044000804"/>
    <n v="9621099177842"/>
  </r>
  <r>
    <x v="45"/>
    <x v="100"/>
    <x v="98"/>
    <x v="47"/>
    <n v="0"/>
    <n v="65"/>
    <s v=" "/>
    <n v="65"/>
    <s v="-"/>
    <x v="1"/>
    <s v="10/16/2023"/>
    <n v="314088572"/>
    <n v="1588864"/>
  </r>
  <r>
    <x v="46"/>
    <x v="208"/>
    <x v="199"/>
    <x v="89"/>
    <n v="65"/>
    <n v="0"/>
    <s v=" "/>
    <n v="0"/>
    <s v="-"/>
    <x v="1"/>
    <s v="10/17/2023"/>
    <n v="125109019"/>
    <n v="875103061318"/>
  </r>
  <r>
    <x v="46"/>
    <x v="105"/>
    <x v="103"/>
    <x v="31"/>
    <n v="20"/>
    <n v="40"/>
    <s v=" "/>
    <n v="40"/>
    <s v="-"/>
    <x v="1"/>
    <s v="10/31/2023"/>
    <n v="111000614"/>
    <n v="1559897432"/>
  </r>
  <r>
    <x v="46"/>
    <x v="181"/>
    <x v="174"/>
    <x v="77"/>
    <n v="0"/>
    <n v="65"/>
    <s v=" "/>
    <n v="65"/>
    <s v="-"/>
    <x v="1"/>
    <s v="10/31/2023"/>
    <s v="071921891"/>
    <n v="4952904048"/>
  </r>
  <r>
    <x v="46"/>
    <x v="107"/>
    <x v="105"/>
    <x v="52"/>
    <n v="21"/>
    <n v="44"/>
    <s v=" "/>
    <n v="44"/>
    <s v="-"/>
    <x v="1"/>
    <s v="10/31/2023"/>
    <n v="314089681"/>
    <n v="199140275"/>
  </r>
  <r>
    <x v="46"/>
    <x v="108"/>
    <x v="106"/>
    <x v="53"/>
    <n v="20"/>
    <n v="40"/>
    <s v=" "/>
    <n v="40"/>
    <s v="-"/>
    <x v="1"/>
    <s v="10/17/2023"/>
    <n v="111000614"/>
    <n v="112335069"/>
  </r>
  <r>
    <x v="46"/>
    <x v="143"/>
    <x v="138"/>
    <x v="37"/>
    <n v="20"/>
    <n v="40"/>
    <s v=" "/>
    <n v="40"/>
    <s v="-"/>
    <x v="1"/>
    <s v="10/21/2023"/>
    <n v="314977405"/>
    <n v="1800900316243"/>
  </r>
  <r>
    <x v="46"/>
    <x v="109"/>
    <x v="107"/>
    <x v="30"/>
    <n v="21"/>
    <n v="19"/>
    <s v=" "/>
    <n v="19"/>
    <s v="-"/>
    <x v="1"/>
    <s v="10/31/2023"/>
    <n v="111900659"/>
    <n v="1007239476"/>
  </r>
  <r>
    <x v="46"/>
    <x v="110"/>
    <x v="108"/>
    <x v="54"/>
    <n v="20"/>
    <n v="40"/>
    <s v=" "/>
    <n v="40"/>
    <s v="-"/>
    <x v="1"/>
    <s v="10/31/2023"/>
    <n v="114000093"/>
    <n v="584219511"/>
  </r>
  <r>
    <x v="46"/>
    <x v="82"/>
    <x v="82"/>
    <x v="35"/>
    <n v="35"/>
    <n v="30"/>
    <s v=" "/>
    <n v="30"/>
    <s v="-"/>
    <x v="1"/>
    <s v="10/28/2023"/>
    <n v="314977340"/>
    <s v="0002365982"/>
  </r>
  <r>
    <x v="46"/>
    <x v="48"/>
    <x v="48"/>
    <x v="5"/>
    <n v="30"/>
    <n v="30"/>
    <s v=" "/>
    <n v="30"/>
    <s v="-"/>
    <x v="1"/>
    <s v="10/30/2023"/>
    <s v="071000013"/>
    <n v="1110027356722"/>
  </r>
  <r>
    <x v="46"/>
    <x v="339"/>
    <x v="318"/>
    <x v="68"/>
    <n v="30"/>
    <n v="35"/>
    <s v=" "/>
    <n v="35"/>
    <s v="-"/>
    <x v="1"/>
    <s v="10/17/2023"/>
    <n v="314977298"/>
    <n v="1810039239"/>
  </r>
  <r>
    <x v="46"/>
    <x v="340"/>
    <x v="319"/>
    <x v="109"/>
    <n v="11"/>
    <n v="49"/>
    <s v=" "/>
    <n v="49"/>
    <s v="-"/>
    <x v="1"/>
    <s v="10/31/2023"/>
    <n v="314977175"/>
    <n v="1800267157"/>
  </r>
  <r>
    <x v="46"/>
    <x v="188"/>
    <x v="181"/>
    <x v="31"/>
    <n v="20"/>
    <n v="40"/>
    <s v=" "/>
    <n v="40"/>
    <s v="-"/>
    <x v="1"/>
    <s v="10/31/2023"/>
    <n v="111000614"/>
    <n v="1559897432"/>
  </r>
  <r>
    <x v="46"/>
    <x v="116"/>
    <x v="113"/>
    <x v="56"/>
    <n v="13"/>
    <n v="47"/>
    <s v=" "/>
    <n v="47"/>
    <s v="-"/>
    <x v="1"/>
    <s v="10/17/2023"/>
    <n v="114926012"/>
    <n v="1104269"/>
  </r>
  <r>
    <x v="46"/>
    <x v="217"/>
    <x v="207"/>
    <x v="31"/>
    <n v="11"/>
    <n v="54"/>
    <s v=" "/>
    <n v="54"/>
    <s v="-"/>
    <x v="1"/>
    <s v="10/31/2023"/>
    <n v="111000614"/>
    <n v="1559897432"/>
  </r>
  <r>
    <x v="46"/>
    <x v="118"/>
    <x v="115"/>
    <x v="36"/>
    <n v="15"/>
    <n v="45"/>
    <s v=" "/>
    <n v="45"/>
    <s v="-"/>
    <x v="1"/>
    <s v="10/31/2023"/>
    <n v="113010547"/>
    <s v="01089622"/>
  </r>
  <r>
    <x v="46"/>
    <x v="341"/>
    <x v="320"/>
    <x v="81"/>
    <n v="25"/>
    <n v="40"/>
    <n v="10"/>
    <n v="50"/>
    <s v="-"/>
    <x v="1"/>
    <s v="10/18/2023"/>
    <n v="111901056"/>
    <n v="1122756693"/>
  </r>
  <r>
    <x v="46"/>
    <x v="342"/>
    <x v="321"/>
    <x v="31"/>
    <n v="50"/>
    <n v="15"/>
    <s v=" "/>
    <n v="15"/>
    <s v="-"/>
    <x v="1"/>
    <s v="10/31/2023"/>
    <n v="111000614"/>
    <n v="1559897432"/>
  </r>
  <r>
    <x v="46"/>
    <x v="343"/>
    <x v="5"/>
    <x v="27"/>
    <n v="10"/>
    <n v="55"/>
    <n v="10"/>
    <n v="65"/>
    <s v="-"/>
    <x v="1"/>
    <s v="10/31/2023"/>
    <n v="111900659"/>
    <n v="5025887380"/>
  </r>
  <r>
    <x v="46"/>
    <x v="119"/>
    <x v="116"/>
    <x v="58"/>
    <n v="20"/>
    <n v="45"/>
    <s v=" "/>
    <n v="45"/>
    <s v="-"/>
    <x v="1"/>
    <s v="10/17/2023"/>
    <n v="314977405"/>
    <n v="900931267"/>
  </r>
  <r>
    <x v="46"/>
    <x v="264"/>
    <x v="249"/>
    <x v="100"/>
    <n v="0"/>
    <n v="65"/>
    <s v=" "/>
    <n v="65"/>
    <s v="-"/>
    <x v="1"/>
    <s v="10/31/2023"/>
    <n v="111000614"/>
    <n v="309835814"/>
  </r>
  <r>
    <x v="46"/>
    <x v="120"/>
    <x v="117"/>
    <x v="58"/>
    <n v="12"/>
    <n v="53"/>
    <s v=" "/>
    <n v="53"/>
    <s v="-"/>
    <x v="1"/>
    <s v="10/17/2023"/>
    <n v="314977405"/>
    <n v="900931267"/>
  </r>
  <r>
    <x v="46"/>
    <x v="121"/>
    <x v="118"/>
    <x v="59"/>
    <n v="30"/>
    <n v="30"/>
    <s v=" "/>
    <n v="30"/>
    <s v="-"/>
    <x v="1"/>
    <s v="10/23/2023"/>
    <n v="314977405"/>
    <n v="1800900986953"/>
  </r>
  <r>
    <x v="46"/>
    <x v="198"/>
    <x v="191"/>
    <x v="31"/>
    <n v="30"/>
    <n v="30"/>
    <s v=" "/>
    <n v="30"/>
    <s v="-"/>
    <x v="1"/>
    <s v="10/31/2023"/>
    <n v="111000614"/>
    <n v="1559897432"/>
  </r>
  <r>
    <x v="46"/>
    <x v="159"/>
    <x v="153"/>
    <x v="64"/>
    <n v="15"/>
    <n v="45"/>
    <s v=" "/>
    <n v="45"/>
    <s v="-"/>
    <x v="1"/>
    <s v="10/29/2023"/>
    <n v="314977405"/>
    <n v="1800901050415"/>
  </r>
  <r>
    <x v="46"/>
    <x v="123"/>
    <x v="120"/>
    <x v="60"/>
    <n v="11"/>
    <n v="54"/>
    <s v=" "/>
    <n v="54"/>
    <s v="-"/>
    <x v="1"/>
    <s v="10/17/2023"/>
    <s v="044000804"/>
    <n v="9621099177842"/>
  </r>
  <r>
    <x v="46"/>
    <x v="124"/>
    <x v="121"/>
    <x v="61"/>
    <n v="0"/>
    <n v="65"/>
    <s v=" "/>
    <n v="65"/>
    <s v="-"/>
    <x v="1"/>
    <s v="10/18/2023"/>
    <n v="111900659"/>
    <n v="8568595873"/>
  </r>
  <r>
    <x v="46"/>
    <x v="206"/>
    <x v="79"/>
    <x v="87"/>
    <n v="20"/>
    <n v="40"/>
    <s v=" "/>
    <n v="40"/>
    <s v="-"/>
    <x v="1"/>
    <s v="10/17/2023"/>
    <n v="111000025"/>
    <n v="488108216185"/>
  </r>
  <r>
    <x v="46"/>
    <x v="129"/>
    <x v="125"/>
    <x v="47"/>
    <n v="15"/>
    <n v="50"/>
    <s v=" "/>
    <n v="50"/>
    <s v="-"/>
    <x v="1"/>
    <s v="10/17/2023"/>
    <n v="314088572"/>
    <n v="1588864"/>
  </r>
  <r>
    <x v="46"/>
    <x v="130"/>
    <x v="126"/>
    <x v="21"/>
    <n v="15"/>
    <n v="50"/>
    <s v=" "/>
    <n v="50"/>
    <s v="-"/>
    <x v="1"/>
    <s v="10/18/2023"/>
    <n v="114000093"/>
    <n v="59251900"/>
  </r>
  <r>
    <x v="46"/>
    <x v="132"/>
    <x v="128"/>
    <x v="54"/>
    <n v="10"/>
    <n v="55"/>
    <s v=" "/>
    <n v="55"/>
    <s v="-"/>
    <x v="1"/>
    <s v="10/31/2023"/>
    <n v="114000093"/>
    <n v="584219511"/>
  </r>
  <r>
    <x v="46"/>
    <x v="51"/>
    <x v="51"/>
    <x v="6"/>
    <n v="0"/>
    <n v="60"/>
    <s v=" "/>
    <n v="60"/>
    <s v="-"/>
    <x v="1"/>
    <s v="10/20/2023"/>
    <n v="111000614"/>
    <n v="791103770"/>
  </r>
  <r>
    <x v="47"/>
    <x v="29"/>
    <x v="29"/>
    <x v="11"/>
    <n v="20"/>
    <n v="40"/>
    <s v=" "/>
    <n v="40"/>
    <s v="-"/>
    <x v="1"/>
    <s v="10/18/2023"/>
    <n v="314977405"/>
    <n v="901205198"/>
  </r>
  <r>
    <x v="47"/>
    <x v="344"/>
    <x v="322"/>
    <x v="64"/>
    <n v="0"/>
    <n v="65"/>
    <n v="10"/>
    <n v="75"/>
    <s v="-"/>
    <x v="1"/>
    <s v="10/29/2023"/>
    <n v="314977405"/>
    <n v="1800901050415"/>
  </r>
  <r>
    <x v="47"/>
    <x v="139"/>
    <x v="134"/>
    <x v="42"/>
    <n v="15"/>
    <n v="45"/>
    <s v=" "/>
    <n v="45"/>
    <s v="-"/>
    <x v="1"/>
    <s v="10/19/2023"/>
    <n v="111900659"/>
    <n v="2415203955"/>
  </r>
  <r>
    <x v="47"/>
    <x v="144"/>
    <x v="37"/>
    <x v="30"/>
    <n v="4"/>
    <n v="36"/>
    <s v=" "/>
    <n v="36"/>
    <s v="-"/>
    <x v="1"/>
    <s v="10/31/2023"/>
    <n v="111900659"/>
    <n v="1007239476"/>
  </r>
  <r>
    <x v="47"/>
    <x v="144"/>
    <x v="37"/>
    <x v="30"/>
    <n v="3"/>
    <n v="62"/>
    <s v=" "/>
    <n v="62"/>
    <s v="-"/>
    <x v="1"/>
    <s v="10/31/2023"/>
    <n v="111900659"/>
    <n v="1007239476"/>
  </r>
  <r>
    <x v="47"/>
    <x v="145"/>
    <x v="139"/>
    <x v="67"/>
    <n v="7"/>
    <n v="53"/>
    <s v=" "/>
    <n v="53"/>
    <s v="-"/>
    <x v="1"/>
    <s v="10/18/2023"/>
    <n v="314977405"/>
    <n v="1800901554698"/>
  </r>
  <r>
    <x v="47"/>
    <x v="146"/>
    <x v="140"/>
    <x v="47"/>
    <n v="20"/>
    <n v="45"/>
    <s v=" "/>
    <n v="45"/>
    <s v="-"/>
    <x v="1"/>
    <s v="10/18/2023"/>
    <n v="314088572"/>
    <n v="1588864"/>
  </r>
  <r>
    <x v="47"/>
    <x v="112"/>
    <x v="110"/>
    <x v="52"/>
    <n v="10"/>
    <n v="50"/>
    <s v=" "/>
    <n v="50"/>
    <s v="-"/>
    <x v="1"/>
    <s v="10/31/2023"/>
    <n v="314089681"/>
    <n v="199140275"/>
  </r>
  <r>
    <x v="47"/>
    <x v="148"/>
    <x v="142"/>
    <x v="68"/>
    <n v="20"/>
    <n v="45"/>
    <s v=" "/>
    <n v="45"/>
    <s v="-"/>
    <x v="1"/>
    <s v="10/18/2023"/>
    <n v="314977298"/>
    <n v="1810039239"/>
  </r>
  <r>
    <x v="47"/>
    <x v="113"/>
    <x v="111"/>
    <x v="54"/>
    <n v="15"/>
    <n v="50"/>
    <s v=" "/>
    <n v="50"/>
    <s v="-"/>
    <x v="1"/>
    <s v="10/31/2023"/>
    <n v="114000093"/>
    <n v="584219511"/>
  </r>
  <r>
    <x v="47"/>
    <x v="345"/>
    <x v="291"/>
    <x v="110"/>
    <n v="21"/>
    <n v="39"/>
    <s v=" "/>
    <n v="39"/>
    <s v="-"/>
    <x v="1"/>
    <s v="10/23/2023"/>
    <n v="111900659"/>
    <n v="1079020580"/>
  </r>
  <r>
    <x v="47"/>
    <x v="152"/>
    <x v="146"/>
    <x v="65"/>
    <n v="6"/>
    <n v="59"/>
    <s v=" "/>
    <n v="59"/>
    <s v="-"/>
    <x v="1"/>
    <s v="10/30/2023"/>
    <n v="314977175"/>
    <n v="288940"/>
  </r>
  <r>
    <x v="47"/>
    <x v="153"/>
    <x v="147"/>
    <x v="30"/>
    <n v="20"/>
    <n v="20"/>
    <s v=" "/>
    <n v="20"/>
    <s v="-"/>
    <x v="1"/>
    <s v="10/31/2023"/>
    <n v="111900659"/>
    <n v="1007239476"/>
  </r>
  <r>
    <x v="47"/>
    <x v="212"/>
    <x v="202"/>
    <x v="13"/>
    <n v="10"/>
    <n v="55"/>
    <s v=" "/>
    <n v="55"/>
    <s v="-"/>
    <x v="1"/>
    <s v="10/18/2023"/>
    <m/>
    <m/>
  </r>
  <r>
    <x v="47"/>
    <x v="346"/>
    <x v="323"/>
    <x v="23"/>
    <n v="10"/>
    <n v="55"/>
    <s v=" "/>
    <n v="55"/>
    <s v="-"/>
    <x v="1"/>
    <s v="10/19/2023"/>
    <m/>
    <m/>
  </r>
  <r>
    <x v="47"/>
    <x v="282"/>
    <x v="265"/>
    <x v="24"/>
    <n v="5"/>
    <n v="55"/>
    <s v=" "/>
    <n v="55"/>
    <s v="-"/>
    <x v="1"/>
    <s v="10/18/2023"/>
    <n v="307084211"/>
    <s v="0009508340025"/>
  </r>
  <r>
    <x v="47"/>
    <x v="229"/>
    <x v="219"/>
    <x v="31"/>
    <n v="11"/>
    <n v="64"/>
    <s v=" "/>
    <n v="64"/>
    <s v="-"/>
    <x v="1"/>
    <s v="10/31/2023"/>
    <n v="111000614"/>
    <n v="1559897432"/>
  </r>
  <r>
    <x v="47"/>
    <x v="155"/>
    <x v="149"/>
    <x v="54"/>
    <n v="21"/>
    <n v="39"/>
    <s v=" "/>
    <n v="39"/>
    <s v="-"/>
    <x v="1"/>
    <s v="10/31/2023"/>
    <n v="114000093"/>
    <n v="584219511"/>
  </r>
  <r>
    <x v="47"/>
    <x v="86"/>
    <x v="86"/>
    <x v="39"/>
    <n v="20"/>
    <n v="45"/>
    <s v=" "/>
    <n v="45"/>
    <s v="-"/>
    <x v="1"/>
    <s v="10/18/2023"/>
    <n v="111000614"/>
    <n v="502504270"/>
  </r>
  <r>
    <x v="47"/>
    <x v="156"/>
    <x v="150"/>
    <x v="71"/>
    <n v="36"/>
    <n v="24"/>
    <s v=" "/>
    <n v="24"/>
    <s v="-"/>
    <x v="1"/>
    <s v="10/30/2023"/>
    <m/>
    <m/>
  </r>
  <r>
    <x v="47"/>
    <x v="347"/>
    <x v="59"/>
    <x v="23"/>
    <n v="40"/>
    <n v="35"/>
    <s v=" "/>
    <n v="35"/>
    <s v="-"/>
    <x v="1"/>
    <s v="10/19/2023"/>
    <m/>
    <m/>
  </r>
  <r>
    <x v="47"/>
    <x v="216"/>
    <x v="206"/>
    <x v="27"/>
    <n v="10"/>
    <n v="55"/>
    <s v=" "/>
    <n v="55"/>
    <s v="-"/>
    <x v="1"/>
    <s v="10/31/2023"/>
    <n v="111900659"/>
    <n v="5025887380"/>
  </r>
  <r>
    <x v="47"/>
    <x v="61"/>
    <x v="61"/>
    <x v="24"/>
    <n v="20"/>
    <n v="45"/>
    <s v=" "/>
    <n v="45"/>
    <s v="-"/>
    <x v="1"/>
    <s v="10/18/2023"/>
    <n v="307084211"/>
    <s v="0009508340025"/>
  </r>
  <r>
    <x v="47"/>
    <x v="348"/>
    <x v="324"/>
    <x v="33"/>
    <n v="15"/>
    <n v="45"/>
    <s v=" "/>
    <n v="45"/>
    <s v="-"/>
    <x v="1"/>
    <s v="10/18/2023"/>
    <n v="111900659"/>
    <n v="3805508938"/>
  </r>
  <r>
    <x v="47"/>
    <x v="349"/>
    <x v="325"/>
    <x v="31"/>
    <n v="0"/>
    <n v="65"/>
    <s v=" "/>
    <n v="65"/>
    <s v="-"/>
    <x v="1"/>
    <s v="10/31/2023"/>
    <n v="111000614"/>
    <n v="1559897432"/>
  </r>
  <r>
    <x v="47"/>
    <x v="158"/>
    <x v="152"/>
    <x v="58"/>
    <n v="20"/>
    <n v="45"/>
    <s v=" "/>
    <n v="45"/>
    <s v="-"/>
    <x v="1"/>
    <s v="10/18/2023"/>
    <n v="314977405"/>
    <n v="900931267"/>
  </r>
  <r>
    <x v="47"/>
    <x v="292"/>
    <x v="275"/>
    <x v="103"/>
    <n v="16"/>
    <n v="44"/>
    <s v=" "/>
    <n v="44"/>
    <s v="-"/>
    <x v="1"/>
    <s v="10/18/2023"/>
    <n v="111900659"/>
    <n v="8882521811"/>
  </r>
  <r>
    <x v="47"/>
    <x v="350"/>
    <x v="326"/>
    <x v="27"/>
    <n v="40"/>
    <n v="25"/>
    <s v=" "/>
    <n v="25"/>
    <s v="-"/>
    <x v="1"/>
    <s v="10/31/2023"/>
    <n v="111900659"/>
    <n v="5025887380"/>
  </r>
  <r>
    <x v="47"/>
    <x v="160"/>
    <x v="154"/>
    <x v="35"/>
    <n v="10"/>
    <n v="50"/>
    <s v=" "/>
    <n v="50"/>
    <s v="-"/>
    <x v="1"/>
    <s v="10/28/2023"/>
    <n v="314977340"/>
    <s v="0002365982"/>
  </r>
  <r>
    <x v="47"/>
    <x v="351"/>
    <x v="327"/>
    <x v="34"/>
    <n v="15"/>
    <n v="45"/>
    <s v=" "/>
    <n v="45"/>
    <s v="-"/>
    <x v="1"/>
    <s v="10/18/2023"/>
    <n v="314089681"/>
    <n v="225927393"/>
  </r>
  <r>
    <x v="47"/>
    <x v="162"/>
    <x v="156"/>
    <x v="20"/>
    <n v="30"/>
    <n v="30"/>
    <s v=" "/>
    <n v="30"/>
    <s v="-"/>
    <x v="1"/>
    <s v="10/18/2023"/>
    <n v="314089681"/>
    <n v="188736177"/>
  </r>
  <r>
    <x v="47"/>
    <x v="165"/>
    <x v="159"/>
    <x v="34"/>
    <n v="15"/>
    <n v="45"/>
    <s v=" "/>
    <n v="45"/>
    <s v="-"/>
    <x v="1"/>
    <s v="10/18/2023"/>
    <n v="314089681"/>
    <n v="225927393"/>
  </r>
  <r>
    <x v="47"/>
    <x v="166"/>
    <x v="160"/>
    <x v="47"/>
    <n v="30"/>
    <n v="35"/>
    <s v=" "/>
    <n v="35"/>
    <s v="-"/>
    <x v="1"/>
    <s v="10/18/2023"/>
    <n v="314088572"/>
    <n v="1588864"/>
  </r>
  <r>
    <x v="47"/>
    <x v="168"/>
    <x v="162"/>
    <x v="74"/>
    <n v="30"/>
    <n v="35"/>
    <s v=" "/>
    <n v="35"/>
    <s v="-"/>
    <x v="1"/>
    <s v="10/18/2023"/>
    <n v="111000614"/>
    <n v="613723318"/>
  </r>
  <r>
    <x v="47"/>
    <x v="34"/>
    <x v="34"/>
    <x v="12"/>
    <n v="10"/>
    <n v="50"/>
    <s v=" "/>
    <n v="50"/>
    <s v="-"/>
    <x v="1"/>
    <s v="10/30/2023"/>
    <n v="111900659"/>
    <n v="8721262510"/>
  </r>
  <r>
    <x v="47"/>
    <x v="205"/>
    <x v="198"/>
    <x v="65"/>
    <n v="40"/>
    <n v="25"/>
    <s v=" "/>
    <n v="25"/>
    <s v="-"/>
    <x v="1"/>
    <s v="10/30/2023"/>
    <n v="314977175"/>
    <n v="288940"/>
  </r>
  <r>
    <x v="47"/>
    <x v="171"/>
    <x v="165"/>
    <x v="21"/>
    <n v="10"/>
    <n v="55"/>
    <s v=" "/>
    <n v="55"/>
    <s v="-"/>
    <x v="1"/>
    <s v="10/18/2023"/>
    <n v="114000093"/>
    <n v="59251900"/>
  </r>
  <r>
    <x v="47"/>
    <x v="99"/>
    <x v="97"/>
    <x v="49"/>
    <n v="10"/>
    <n v="50"/>
    <s v=" "/>
    <n v="50"/>
    <s v="-"/>
    <x v="1"/>
    <s v="10/18/2023"/>
    <n v="111000025"/>
    <n v="488113380857"/>
  </r>
  <r>
    <x v="47"/>
    <x v="295"/>
    <x v="277"/>
    <x v="31"/>
    <n v="0"/>
    <n v="65"/>
    <s v=" "/>
    <n v="65"/>
    <s v="-"/>
    <x v="1"/>
    <s v="10/31/2023"/>
    <n v="111000614"/>
    <n v="1559897432"/>
  </r>
  <r>
    <x v="48"/>
    <x v="173"/>
    <x v="166"/>
    <x v="22"/>
    <n v="20"/>
    <n v="45"/>
    <s v=" "/>
    <n v="45"/>
    <s v="-"/>
    <x v="1"/>
    <s v="10/20/2023"/>
    <n v="314977405"/>
    <n v="901598282"/>
  </r>
  <r>
    <x v="48"/>
    <x v="135"/>
    <x v="130"/>
    <x v="64"/>
    <n v="35"/>
    <n v="25"/>
    <s v=" "/>
    <n v="25"/>
    <s v="-"/>
    <x v="1"/>
    <s v="10/29/2023"/>
    <n v="314977405"/>
    <n v="1800901050415"/>
  </r>
  <r>
    <x v="48"/>
    <x v="174"/>
    <x v="167"/>
    <x v="76"/>
    <n v="10"/>
    <n v="55"/>
    <s v=" "/>
    <n v="55"/>
    <s v="-"/>
    <x v="1"/>
    <s v="10/19/2023"/>
    <n v="314977104"/>
    <n v="589551"/>
  </r>
  <r>
    <x v="48"/>
    <x v="101"/>
    <x v="99"/>
    <x v="13"/>
    <n v="30"/>
    <n v="35"/>
    <s v=" "/>
    <n v="35"/>
    <s v="-"/>
    <x v="1"/>
    <s v="10/19/2023"/>
    <m/>
    <m/>
  </r>
  <r>
    <x v="48"/>
    <x v="176"/>
    <x v="169"/>
    <x v="43"/>
    <n v="10"/>
    <n v="50"/>
    <s v=" "/>
    <n v="50"/>
    <s v="-"/>
    <x v="1"/>
    <s v="10/26/2023"/>
    <n v="114993906"/>
    <s v="009165659357"/>
  </r>
  <r>
    <x v="48"/>
    <x v="78"/>
    <x v="78"/>
    <x v="33"/>
    <n v="15"/>
    <n v="45"/>
    <s v=" "/>
    <n v="45"/>
    <s v="-"/>
    <x v="1"/>
    <s v="10/19/2023"/>
    <n v="111900659"/>
    <n v="3805508938"/>
  </r>
  <r>
    <x v="48"/>
    <x v="177"/>
    <x v="170"/>
    <x v="31"/>
    <n v="15"/>
    <n v="50"/>
    <s v=" "/>
    <n v="50"/>
    <s v="-"/>
    <x v="1"/>
    <s v="10/31/2023"/>
    <n v="111000614"/>
    <n v="1559897432"/>
  </r>
  <r>
    <x v="48"/>
    <x v="352"/>
    <x v="328"/>
    <x v="26"/>
    <n v="15"/>
    <n v="50"/>
    <n v="10"/>
    <n v="60"/>
    <s v="-"/>
    <x v="1"/>
    <s v="10/23/2023"/>
    <m/>
    <m/>
  </r>
  <r>
    <x v="48"/>
    <x v="178"/>
    <x v="171"/>
    <x v="71"/>
    <n v="36"/>
    <n v="29"/>
    <s v=" "/>
    <n v="29"/>
    <s v="-"/>
    <x v="1"/>
    <s v="10/30/2023"/>
    <m/>
    <m/>
  </r>
  <r>
    <x v="48"/>
    <x v="180"/>
    <x v="173"/>
    <x v="58"/>
    <n v="25"/>
    <n v="40"/>
    <s v=" "/>
    <n v="40"/>
    <s v="-"/>
    <x v="1"/>
    <s v="10/19/2023"/>
    <n v="314977405"/>
    <n v="900931267"/>
  </r>
  <r>
    <x v="48"/>
    <x v="353"/>
    <x v="0"/>
    <x v="108"/>
    <n v="20"/>
    <n v="40"/>
    <s v=" "/>
    <n v="40"/>
    <s v="-"/>
    <x v="1"/>
    <s v="10/19/2023"/>
    <n v="114926012"/>
    <n v="1102400"/>
  </r>
  <r>
    <x v="48"/>
    <x v="182"/>
    <x v="175"/>
    <x v="22"/>
    <n v="35"/>
    <n v="30"/>
    <s v=" "/>
    <n v="30"/>
    <s v="-"/>
    <x v="1"/>
    <s v="10/20/2023"/>
    <n v="314977405"/>
    <n v="901598282"/>
  </r>
  <r>
    <x v="48"/>
    <x v="141"/>
    <x v="136"/>
    <x v="66"/>
    <n v="17"/>
    <n v="48"/>
    <s v=" "/>
    <n v="48"/>
    <s v="-"/>
    <x v="1"/>
    <s v="10/30/2023"/>
    <n v="314977405"/>
    <n v="1830900455112"/>
  </r>
  <r>
    <x v="48"/>
    <x v="183"/>
    <x v="176"/>
    <x v="78"/>
    <n v="10"/>
    <n v="55"/>
    <s v=" "/>
    <n v="55"/>
    <s v="-"/>
    <x v="1"/>
    <s v="10/19/2023"/>
    <n v="314977175"/>
    <n v="1800272855"/>
  </r>
  <r>
    <x v="48"/>
    <x v="227"/>
    <x v="217"/>
    <x v="54"/>
    <n v="26"/>
    <n v="34"/>
    <s v=" "/>
    <n v="34"/>
    <s v="-"/>
    <x v="1"/>
    <s v="10/31/2023"/>
    <n v="114000093"/>
    <n v="584219511"/>
  </r>
  <r>
    <x v="48"/>
    <x v="184"/>
    <x v="177"/>
    <x v="65"/>
    <n v="0"/>
    <n v="60"/>
    <s v=" "/>
    <n v="60"/>
    <s v="-"/>
    <x v="1"/>
    <s v="10/30/2023"/>
    <n v="314977175"/>
    <n v="288940"/>
  </r>
  <r>
    <x v="48"/>
    <x v="306"/>
    <x v="288"/>
    <x v="33"/>
    <n v="15"/>
    <n v="45"/>
    <s v=" "/>
    <n v="45"/>
    <s v="-"/>
    <x v="1"/>
    <s v="10/19/2023"/>
    <n v="111900659"/>
    <n v="3805508938"/>
  </r>
  <r>
    <x v="48"/>
    <x v="185"/>
    <x v="178"/>
    <x v="79"/>
    <n v="35"/>
    <n v="25"/>
    <s v=" "/>
    <n v="25"/>
    <s v="-"/>
    <x v="1"/>
    <s v="10/23/2023"/>
    <n v="314977405"/>
    <n v="1800901394915"/>
  </r>
  <r>
    <x v="48"/>
    <x v="186"/>
    <x v="179"/>
    <x v="31"/>
    <n v="31"/>
    <n v="29"/>
    <s v=" "/>
    <n v="29"/>
    <s v="-"/>
    <x v="1"/>
    <s v="10/31/2023"/>
    <n v="111000614"/>
    <n v="1559897432"/>
  </r>
  <r>
    <x v="48"/>
    <x v="354"/>
    <x v="329"/>
    <x v="31"/>
    <n v="11"/>
    <n v="49"/>
    <s v=" "/>
    <n v="49"/>
    <s v="-"/>
    <x v="1"/>
    <s v="10/31/2023"/>
    <n v="111000614"/>
    <n v="1559897432"/>
  </r>
  <r>
    <x v="48"/>
    <x v="355"/>
    <x v="330"/>
    <x v="93"/>
    <n v="30"/>
    <n v="30"/>
    <s v=" "/>
    <n v="30"/>
    <s v="-"/>
    <x v="1"/>
    <s v="10/19/2023"/>
    <n v="111900659"/>
    <n v="7919088034"/>
  </r>
  <r>
    <x v="48"/>
    <x v="190"/>
    <x v="183"/>
    <x v="81"/>
    <n v="20"/>
    <n v="45"/>
    <s v=" "/>
    <n v="45"/>
    <s v="-"/>
    <x v="1"/>
    <s v="10/19/2023"/>
    <n v="111901056"/>
    <n v="1122756693"/>
  </r>
  <r>
    <x v="48"/>
    <x v="191"/>
    <x v="184"/>
    <x v="82"/>
    <n v="25"/>
    <n v="40"/>
    <s v=" "/>
    <n v="40"/>
    <s v="-"/>
    <x v="1"/>
    <s v="10/23/2023"/>
    <n v="111000614"/>
    <n v="834436966"/>
  </r>
  <r>
    <x v="48"/>
    <x v="87"/>
    <x v="87"/>
    <x v="40"/>
    <n v="10"/>
    <n v="55"/>
    <s v=" "/>
    <n v="55"/>
    <s v="-"/>
    <x v="1"/>
    <s v="10/19/2023"/>
    <n v="314977175"/>
    <n v="1800062621"/>
  </r>
  <r>
    <x v="48"/>
    <x v="117"/>
    <x v="114"/>
    <x v="57"/>
    <n v="16"/>
    <n v="44"/>
    <s v=" "/>
    <n v="44"/>
    <s v="-"/>
    <x v="1"/>
    <s v="10/31/2023"/>
    <n v="111000614"/>
    <n v="356579018"/>
  </r>
  <r>
    <x v="48"/>
    <x v="193"/>
    <x v="186"/>
    <x v="70"/>
    <n v="15"/>
    <n v="45"/>
    <s v=" "/>
    <n v="45"/>
    <s v="-"/>
    <x v="1"/>
    <s v="10/19/2023"/>
    <n v="111000614"/>
    <n v="637882736"/>
  </r>
  <r>
    <x v="48"/>
    <x v="356"/>
    <x v="331"/>
    <x v="108"/>
    <n v="25"/>
    <n v="35"/>
    <s v=" "/>
    <n v="35"/>
    <s v="-"/>
    <x v="1"/>
    <s v="10/19/2023"/>
    <n v="114926012"/>
    <n v="1102400"/>
  </r>
  <r>
    <x v="48"/>
    <x v="291"/>
    <x v="274"/>
    <x v="67"/>
    <n v="10"/>
    <n v="50"/>
    <s v=" "/>
    <n v="50"/>
    <s v="-"/>
    <x v="1"/>
    <s v="10/19/2023"/>
    <n v="314977405"/>
    <n v="1800901554698"/>
  </r>
  <r>
    <x v="48"/>
    <x v="200"/>
    <x v="193"/>
    <x v="70"/>
    <n v="20"/>
    <n v="40"/>
    <s v=" "/>
    <n v="40"/>
    <s v="-"/>
    <x v="1"/>
    <s v="10/19/2023"/>
    <n v="111000614"/>
    <n v="637882736"/>
  </r>
  <r>
    <x v="48"/>
    <x v="163"/>
    <x v="157"/>
    <x v="47"/>
    <n v="30"/>
    <n v="35"/>
    <s v=" "/>
    <n v="35"/>
    <s v="-"/>
    <x v="1"/>
    <s v="10/19/2023"/>
    <n v="314088572"/>
    <n v="1588864"/>
  </r>
  <r>
    <x v="48"/>
    <x v="357"/>
    <x v="332"/>
    <x v="111"/>
    <n v="6"/>
    <n v="54"/>
    <s v=" "/>
    <n v="54"/>
    <s v="-"/>
    <x v="1"/>
    <s v="10/19/2023"/>
    <n v="314977405"/>
    <n v="1800900663178"/>
  </r>
  <r>
    <x v="48"/>
    <x v="22"/>
    <x v="22"/>
    <x v="4"/>
    <n v="55"/>
    <n v="5"/>
    <s v=" "/>
    <n v="5"/>
    <s v="-"/>
    <x v="1"/>
    <s v="10/26/2023"/>
    <m/>
    <m/>
  </r>
  <r>
    <x v="48"/>
    <x v="164"/>
    <x v="158"/>
    <x v="73"/>
    <n v="30"/>
    <n v="30"/>
    <s v=" "/>
    <n v="30"/>
    <s v="-"/>
    <x v="1"/>
    <s v="10/19/2023"/>
    <n v="114000093"/>
    <n v="591108441"/>
  </r>
  <r>
    <x v="48"/>
    <x v="203"/>
    <x v="196"/>
    <x v="85"/>
    <n v="20"/>
    <n v="45"/>
    <s v=" "/>
    <n v="45"/>
    <s v="-"/>
    <x v="1"/>
    <s v="10/19/2023"/>
    <n v="111900659"/>
    <n v="1735145326"/>
  </r>
  <r>
    <x v="48"/>
    <x v="167"/>
    <x v="161"/>
    <x v="59"/>
    <n v="35"/>
    <n v="30"/>
    <s v=" "/>
    <n v="30"/>
    <s v="-"/>
    <x v="1"/>
    <s v="10/23/2023"/>
    <n v="314977405"/>
    <n v="1800900986953"/>
  </r>
  <r>
    <x v="48"/>
    <x v="204"/>
    <x v="197"/>
    <x v="86"/>
    <n v="21"/>
    <n v="44"/>
    <s v=" "/>
    <n v="44"/>
    <s v="-"/>
    <x v="1"/>
    <s v="10/20/2023"/>
    <m/>
    <m/>
  </r>
  <r>
    <x v="48"/>
    <x v="358"/>
    <x v="333"/>
    <x v="112"/>
    <n v="5"/>
    <n v="55"/>
    <s v=" "/>
    <n v="55"/>
    <s v="-"/>
    <x v="1"/>
    <s v="10/19/2023"/>
    <n v="113010547"/>
    <n v="6740541186"/>
  </r>
  <r>
    <x v="48"/>
    <x v="25"/>
    <x v="25"/>
    <x v="8"/>
    <n v="10"/>
    <n v="55"/>
    <s v=" "/>
    <n v="55"/>
    <s v="-"/>
    <x v="1"/>
    <s v="10/20/2023"/>
    <n v="111000614"/>
    <n v="982027275"/>
  </r>
  <r>
    <x v="48"/>
    <x v="207"/>
    <x v="44"/>
    <x v="88"/>
    <n v="0"/>
    <n v="60"/>
    <s v=" "/>
    <n v="60"/>
    <s v="-"/>
    <x v="1"/>
    <s v="10/31/2023"/>
    <n v="314977405"/>
    <n v="1800900064450"/>
  </r>
  <r>
    <x v="48"/>
    <x v="359"/>
    <x v="334"/>
    <x v="46"/>
    <n v="25"/>
    <n v="40"/>
    <n v="10"/>
    <n v="50"/>
    <s v="-"/>
    <x v="1"/>
    <s v="10/19/2023"/>
    <n v="111900659"/>
    <n v="2232144119"/>
  </r>
  <r>
    <x v="48"/>
    <x v="320"/>
    <x v="301"/>
    <x v="8"/>
    <n v="35"/>
    <n v="30"/>
    <s v=" "/>
    <n v="30"/>
    <s v="-"/>
    <x v="1"/>
    <s v="10/20/2023"/>
    <n v="111000614"/>
    <n v="982027275"/>
  </r>
  <r>
    <x v="49"/>
    <x v="138"/>
    <x v="133"/>
    <x v="48"/>
    <n v="15"/>
    <n v="50"/>
    <s v=" "/>
    <n v="50"/>
    <s v="-"/>
    <x v="1"/>
    <s v="10/31/2023"/>
    <n v="314977340"/>
    <n v="2358912"/>
  </r>
  <r>
    <x v="49"/>
    <x v="360"/>
    <x v="335"/>
    <x v="13"/>
    <n v="25"/>
    <n v="40"/>
    <s v=" "/>
    <n v="40"/>
    <s v="-"/>
    <x v="1"/>
    <s v="10/20/2023"/>
    <m/>
    <m/>
  </r>
  <r>
    <x v="49"/>
    <x v="361"/>
    <x v="336"/>
    <x v="68"/>
    <n v="5"/>
    <n v="60"/>
    <s v=" "/>
    <n v="60"/>
    <s v="-"/>
    <x v="1"/>
    <s v="10/25/2023"/>
    <n v="314977298"/>
    <n v="1810039239"/>
  </r>
  <r>
    <x v="49"/>
    <x v="210"/>
    <x v="61"/>
    <x v="52"/>
    <n v="15"/>
    <n v="50"/>
    <s v=" "/>
    <n v="50"/>
    <s v="-"/>
    <x v="1"/>
    <s v="10/31/2023"/>
    <n v="314089681"/>
    <n v="199140275"/>
  </r>
  <r>
    <x v="49"/>
    <x v="213"/>
    <x v="203"/>
    <x v="59"/>
    <n v="40"/>
    <n v="25"/>
    <s v=" "/>
    <n v="25"/>
    <s v="-"/>
    <x v="1"/>
    <s v="10/23/2023"/>
    <n v="314977405"/>
    <n v="1800900986953"/>
  </r>
  <r>
    <x v="49"/>
    <x v="362"/>
    <x v="337"/>
    <x v="57"/>
    <n v="45"/>
    <n v="20"/>
    <s v=" "/>
    <n v="20"/>
    <s v="-"/>
    <x v="1"/>
    <s v="10/31/2023"/>
    <n v="111000614"/>
    <n v="356579018"/>
  </r>
  <r>
    <x v="49"/>
    <x v="363"/>
    <x v="215"/>
    <x v="52"/>
    <n v="20"/>
    <n v="40"/>
    <s v=" "/>
    <n v="40"/>
    <s v="-"/>
    <x v="1"/>
    <s v="10/31/2023"/>
    <n v="314089681"/>
    <n v="199140275"/>
  </r>
  <r>
    <x v="49"/>
    <x v="214"/>
    <x v="204"/>
    <x v="68"/>
    <n v="20"/>
    <n v="40"/>
    <s v=" "/>
    <n v="40"/>
    <s v="-"/>
    <x v="1"/>
    <s v="10/20/2023"/>
    <n v="314977298"/>
    <n v="1810039239"/>
  </r>
  <r>
    <x v="49"/>
    <x v="215"/>
    <x v="205"/>
    <x v="45"/>
    <n v="11"/>
    <n v="49"/>
    <s v=" "/>
    <n v="49"/>
    <s v="-"/>
    <x v="1"/>
    <s v="10/20/2023"/>
    <n v="314977405"/>
    <n v="1800900913423"/>
  </r>
  <r>
    <x v="49"/>
    <x v="194"/>
    <x v="187"/>
    <x v="57"/>
    <n v="25"/>
    <n v="35"/>
    <s v=" "/>
    <n v="35"/>
    <s v="-"/>
    <x v="1"/>
    <s v="10/31/2023"/>
    <n v="111000614"/>
    <n v="356579018"/>
  </r>
  <r>
    <x v="49"/>
    <x v="33"/>
    <x v="33"/>
    <x v="13"/>
    <n v="11"/>
    <n v="54"/>
    <s v=" "/>
    <n v="54"/>
    <s v="-"/>
    <x v="1"/>
    <s v="10/20/2023"/>
    <m/>
    <m/>
  </r>
  <r>
    <x v="49"/>
    <x v="201"/>
    <x v="194"/>
    <x v="45"/>
    <n v="30"/>
    <n v="30"/>
    <s v=" "/>
    <n v="30"/>
    <s v="-"/>
    <x v="1"/>
    <s v="10/20/2023"/>
    <n v="314977405"/>
    <n v="1800900913423"/>
  </r>
  <r>
    <x v="49"/>
    <x v="364"/>
    <x v="338"/>
    <x v="113"/>
    <n v="10"/>
    <n v="55"/>
    <s v=" "/>
    <n v="55"/>
    <s v="-"/>
    <x v="1"/>
    <s v="10/20/2023"/>
    <n v="314089681"/>
    <n v="236654828"/>
  </r>
  <r>
    <x v="49"/>
    <x v="365"/>
    <x v="339"/>
    <x v="114"/>
    <n v="25"/>
    <n v="40"/>
    <s v=" "/>
    <n v="40"/>
    <s v="-"/>
    <x v="1"/>
    <s v="10/20/2023"/>
    <m/>
    <m/>
  </r>
  <r>
    <x v="49"/>
    <x v="366"/>
    <x v="340"/>
    <x v="92"/>
    <n v="5"/>
    <n v="60"/>
    <s v=" "/>
    <n v="60"/>
    <s v="-"/>
    <x v="1"/>
    <s v="10/31/2023"/>
    <n v="314977175"/>
    <n v="1800237276"/>
  </r>
  <r>
    <x v="49"/>
    <x v="98"/>
    <x v="16"/>
    <x v="48"/>
    <n v="25"/>
    <n v="35"/>
    <s v=" "/>
    <n v="35"/>
    <s v="-"/>
    <x v="1"/>
    <s v="10/31/2023"/>
    <n v="314977340"/>
    <n v="2358912"/>
  </r>
  <r>
    <x v="49"/>
    <x v="172"/>
    <x v="150"/>
    <x v="74"/>
    <n v="30"/>
    <n v="35"/>
    <s v=" "/>
    <n v="35"/>
    <s v="-"/>
    <x v="1"/>
    <s v="10/20/2023"/>
    <n v="111000614"/>
    <n v="613723318"/>
  </r>
  <r>
    <x v="50"/>
    <x v="367"/>
    <x v="217"/>
    <x v="31"/>
    <n v="16"/>
    <n v="44"/>
    <s v=" "/>
    <n v="44"/>
    <s v="-"/>
    <x v="1"/>
    <s v="10/31/2023"/>
    <n v="111000614"/>
    <n v="1559897432"/>
  </r>
  <r>
    <x v="50"/>
    <x v="69"/>
    <x v="69"/>
    <x v="28"/>
    <n v="30"/>
    <n v="30"/>
    <s v=" "/>
    <n v="30"/>
    <s v="-"/>
    <x v="1"/>
    <s v="10/22/2023"/>
    <n v="314977133"/>
    <n v="2009446390"/>
  </r>
  <r>
    <x v="50"/>
    <x v="219"/>
    <x v="209"/>
    <x v="58"/>
    <n v="10"/>
    <n v="50"/>
    <s v=" "/>
    <n v="50"/>
    <s v="-"/>
    <x v="1"/>
    <s v="10/21/2023"/>
    <n v="314977405"/>
    <n v="900931267"/>
  </r>
  <r>
    <x v="51"/>
    <x v="368"/>
    <x v="341"/>
    <x v="31"/>
    <n v="30"/>
    <n v="30"/>
    <s v=" "/>
    <n v="30"/>
    <s v="-"/>
    <x v="1"/>
    <s v="10/31/2023"/>
    <n v="111000614"/>
    <n v="1559897432"/>
  </r>
  <r>
    <x v="51"/>
    <x v="220"/>
    <x v="210"/>
    <x v="31"/>
    <n v="25"/>
    <n v="35"/>
    <s v=" "/>
    <n v="35"/>
    <s v="-"/>
    <x v="1"/>
    <s v="10/31/2023"/>
    <n v="111000614"/>
    <n v="1559897432"/>
  </r>
  <r>
    <x v="51"/>
    <x v="70"/>
    <x v="70"/>
    <x v="29"/>
    <n v="10"/>
    <n v="55"/>
    <s v=" "/>
    <n v="55"/>
    <s v="-"/>
    <x v="1"/>
    <s v="10/22/2023"/>
    <s v="071921891"/>
    <n v="4952187173"/>
  </r>
  <r>
    <x v="51"/>
    <x v="73"/>
    <x v="73"/>
    <x v="32"/>
    <n v="11"/>
    <n v="49"/>
    <s v=" "/>
    <n v="49"/>
    <s v="-"/>
    <x v="1"/>
    <s v="10/22/2023"/>
    <n v="256074974"/>
    <n v="7091445424"/>
  </r>
  <r>
    <x v="51"/>
    <x v="77"/>
    <x v="77"/>
    <x v="29"/>
    <n v="10"/>
    <n v="55"/>
    <s v=" "/>
    <n v="55"/>
    <s v="-"/>
    <x v="1"/>
    <s v="10/22/2023"/>
    <s v="071921891"/>
    <n v="4952187173"/>
  </r>
  <r>
    <x v="52"/>
    <x v="221"/>
    <x v="211"/>
    <x v="34"/>
    <n v="40"/>
    <n v="25"/>
    <s v=" "/>
    <n v="25"/>
    <s v="-"/>
    <x v="1"/>
    <s v="10/23/2023"/>
    <n v="314089681"/>
    <n v="225927393"/>
  </r>
  <r>
    <x v="52"/>
    <x v="223"/>
    <x v="213"/>
    <x v="91"/>
    <n v="20"/>
    <n v="40"/>
    <s v=" "/>
    <n v="40"/>
    <s v="-"/>
    <x v="1"/>
    <s v="10/27/2023"/>
    <n v="211370150"/>
    <n v="100086687"/>
  </r>
  <r>
    <x v="52"/>
    <x v="80"/>
    <x v="80"/>
    <x v="34"/>
    <n v="10"/>
    <n v="50"/>
    <s v=" "/>
    <n v="50"/>
    <s v="-"/>
    <x v="1"/>
    <s v="10/23/2023"/>
    <n v="314089681"/>
    <n v="225927393"/>
  </r>
  <r>
    <x v="52"/>
    <x v="43"/>
    <x v="43"/>
    <x v="14"/>
    <n v="10"/>
    <n v="50"/>
    <s v=" "/>
    <n v="50"/>
    <s v="-"/>
    <x v="1"/>
    <s v="10/23/2023"/>
    <n v="111000614"/>
    <n v="3111463109"/>
  </r>
  <r>
    <x v="52"/>
    <x v="224"/>
    <x v="214"/>
    <x v="36"/>
    <n v="1"/>
    <n v="64"/>
    <s v=" "/>
    <n v="64"/>
    <s v="-"/>
    <x v="1"/>
    <s v="10/31/2023"/>
    <n v="113010547"/>
    <s v="01089622"/>
  </r>
  <r>
    <x v="52"/>
    <x v="300"/>
    <x v="282"/>
    <x v="56"/>
    <n v="5"/>
    <n v="55"/>
    <s v=" "/>
    <n v="55"/>
    <s v="-"/>
    <x v="1"/>
    <s v="10/23/2023"/>
    <n v="114926012"/>
    <n v="1104269"/>
  </r>
  <r>
    <x v="52"/>
    <x v="369"/>
    <x v="342"/>
    <x v="23"/>
    <n v="50"/>
    <n v="15"/>
    <s v=" "/>
    <n v="15"/>
    <s v="-"/>
    <x v="1"/>
    <s v="10/23/2023"/>
    <m/>
    <m/>
  </r>
  <r>
    <x v="52"/>
    <x v="10"/>
    <x v="10"/>
    <x v="4"/>
    <n v="50"/>
    <n v="15"/>
    <s v=" "/>
    <n v="15"/>
    <s v="-"/>
    <x v="1"/>
    <s v="10/26/2023"/>
    <m/>
    <m/>
  </r>
  <r>
    <x v="52"/>
    <x v="340"/>
    <x v="319"/>
    <x v="109"/>
    <n v="11"/>
    <n v="49"/>
    <s v=" "/>
    <n v="49"/>
    <s v="-"/>
    <x v="1"/>
    <s v="10/31/2023"/>
    <n v="314977175"/>
    <n v="1800267157"/>
  </r>
  <r>
    <x v="52"/>
    <x v="258"/>
    <x v="194"/>
    <x v="99"/>
    <n v="15"/>
    <n v="45"/>
    <s v=" "/>
    <n v="45"/>
    <s v="-"/>
    <x v="1"/>
    <s v="10/24/2023"/>
    <n v="314977175"/>
    <n v="1800272855"/>
  </r>
  <r>
    <x v="52"/>
    <x v="45"/>
    <x v="45"/>
    <x v="4"/>
    <n v="30"/>
    <n v="30"/>
    <s v=" "/>
    <n v="30"/>
    <s v="-"/>
    <x v="1"/>
    <s v="10/26/2023"/>
    <m/>
    <m/>
  </r>
  <r>
    <x v="52"/>
    <x v="192"/>
    <x v="185"/>
    <x v="31"/>
    <n v="20"/>
    <n v="40"/>
    <s v=" "/>
    <n v="40"/>
    <s v="-"/>
    <x v="1"/>
    <s v="10/31/2023"/>
    <n v="111000614"/>
    <n v="1559897432"/>
  </r>
  <r>
    <x v="52"/>
    <x v="91"/>
    <x v="91"/>
    <x v="43"/>
    <n v="0"/>
    <n v="65"/>
    <s v=" "/>
    <n v="65"/>
    <s v="-"/>
    <x v="1"/>
    <s v="10/26/2023"/>
    <n v="114993906"/>
    <s v="009165659357"/>
  </r>
  <r>
    <x v="52"/>
    <x v="370"/>
    <x v="343"/>
    <x v="60"/>
    <n v="20"/>
    <n v="40"/>
    <s v=" "/>
    <n v="40"/>
    <s v="-"/>
    <x v="1"/>
    <s v="10/23/2023"/>
    <s v="044000804"/>
    <n v="9621099177842"/>
  </r>
  <r>
    <x v="52"/>
    <x v="196"/>
    <x v="189"/>
    <x v="83"/>
    <n v="30"/>
    <n v="30"/>
    <s v=" "/>
    <n v="30"/>
    <s v="-"/>
    <x v="1"/>
    <s v="10/23/2023"/>
    <n v="314977405"/>
    <n v="1800900499734"/>
  </r>
  <r>
    <x v="52"/>
    <x v="73"/>
    <x v="73"/>
    <x v="43"/>
    <n v="10"/>
    <n v="65"/>
    <s v=" "/>
    <n v="65"/>
    <s v="-"/>
    <x v="1"/>
    <s v="10/26/2023"/>
    <n v="114993906"/>
    <s v="009165659357"/>
  </r>
  <r>
    <x v="52"/>
    <x v="231"/>
    <x v="221"/>
    <x v="70"/>
    <n v="30"/>
    <n v="35"/>
    <s v=" "/>
    <n v="35"/>
    <s v="-"/>
    <x v="1"/>
    <s v="10/27/2023"/>
    <n v="111000614"/>
    <n v="637882736"/>
  </r>
  <r>
    <x v="52"/>
    <x v="94"/>
    <x v="94"/>
    <x v="24"/>
    <n v="25"/>
    <n v="35"/>
    <s v=" "/>
    <n v="35"/>
    <s v="-"/>
    <x v="1"/>
    <s v="10/27/2023"/>
    <n v="307084211"/>
    <s v="0009508340025"/>
  </r>
  <r>
    <x v="52"/>
    <x v="232"/>
    <x v="222"/>
    <x v="35"/>
    <n v="25"/>
    <n v="35"/>
    <s v=" "/>
    <n v="35"/>
    <s v="-"/>
    <x v="1"/>
    <s v="10/28/2023"/>
    <n v="314977340"/>
    <s v="0002365982"/>
  </r>
  <r>
    <x v="52"/>
    <x v="233"/>
    <x v="223"/>
    <x v="87"/>
    <n v="20"/>
    <n v="40"/>
    <s v=" "/>
    <n v="40"/>
    <s v="-"/>
    <x v="1"/>
    <s v="10/23/2023"/>
    <n v="111000025"/>
    <n v="488108216185"/>
  </r>
  <r>
    <x v="52"/>
    <x v="95"/>
    <x v="79"/>
    <x v="31"/>
    <n v="36"/>
    <n v="24"/>
    <s v=" "/>
    <n v="24"/>
    <s v="-"/>
    <x v="1"/>
    <s v="10/31/2023"/>
    <n v="111000614"/>
    <n v="1559897432"/>
  </r>
  <r>
    <x v="52"/>
    <x v="234"/>
    <x v="224"/>
    <x v="78"/>
    <n v="50"/>
    <n v="15"/>
    <s v=" "/>
    <n v="15"/>
    <s v="-"/>
    <x v="1"/>
    <s v="10/23/2023"/>
    <n v="314977175"/>
    <n v="1800272855"/>
  </r>
  <r>
    <x v="52"/>
    <x v="66"/>
    <x v="66"/>
    <x v="19"/>
    <n v="25"/>
    <n v="40"/>
    <s v=" "/>
    <n v="40"/>
    <s v="-"/>
    <x v="1"/>
    <s v="10/24/2023"/>
    <n v="314977405"/>
    <n v="1800901526873"/>
  </r>
  <r>
    <x v="52"/>
    <x v="269"/>
    <x v="253"/>
    <x v="93"/>
    <n v="20"/>
    <n v="45"/>
    <s v=" "/>
    <n v="45"/>
    <s v="-"/>
    <x v="1"/>
    <s v="10/23/2023"/>
    <n v="111900659"/>
    <n v="7919088034"/>
  </r>
  <r>
    <x v="52"/>
    <x v="235"/>
    <x v="225"/>
    <x v="49"/>
    <n v="25"/>
    <n v="40"/>
    <s v=" "/>
    <n v="40"/>
    <s v="-"/>
    <x v="1"/>
    <s v="10/23/2023"/>
    <n v="111000025"/>
    <n v="488113380857"/>
  </r>
  <r>
    <x v="52"/>
    <x v="271"/>
    <x v="254"/>
    <x v="42"/>
    <n v="40"/>
    <n v="25"/>
    <s v=" "/>
    <n v="25"/>
    <s v="-"/>
    <x v="1"/>
    <s v="10/27/2023"/>
    <n v="111900659"/>
    <n v="2415203955"/>
  </r>
  <r>
    <x v="52"/>
    <x v="99"/>
    <x v="97"/>
    <x v="49"/>
    <n v="10"/>
    <n v="50"/>
    <s v=" "/>
    <n v="50"/>
    <s v="-"/>
    <x v="1"/>
    <s v="10/23/2023"/>
    <n v="111000025"/>
    <n v="488113380857"/>
  </r>
  <r>
    <x v="53"/>
    <x v="208"/>
    <x v="199"/>
    <x v="89"/>
    <n v="65"/>
    <n v="0"/>
    <s v=" "/>
    <n v="0"/>
    <s v="-"/>
    <x v="1"/>
    <s v="10/24/2023"/>
    <n v="125109019"/>
    <n v="875103061318"/>
  </r>
  <r>
    <x v="53"/>
    <x v="238"/>
    <x v="226"/>
    <x v="91"/>
    <n v="10"/>
    <n v="55"/>
    <s v=" "/>
    <n v="55"/>
    <s v="-"/>
    <x v="1"/>
    <s v="10/27/2023"/>
    <n v="211370150"/>
    <n v="100086687"/>
  </r>
  <r>
    <x v="53"/>
    <x v="137"/>
    <x v="132"/>
    <x v="30"/>
    <n v="17"/>
    <n v="48"/>
    <s v=" "/>
    <n v="48"/>
    <s v="-"/>
    <x v="1"/>
    <s v="10/31/2023"/>
    <n v="111900659"/>
    <n v="1007239476"/>
  </r>
  <r>
    <x v="53"/>
    <x v="371"/>
    <x v="344"/>
    <x v="108"/>
    <n v="5"/>
    <n v="60"/>
    <s v=" "/>
    <n v="60"/>
    <s v="-"/>
    <x v="1"/>
    <s v="10/24/2023"/>
    <n v="114926012"/>
    <n v="1102400"/>
  </r>
  <r>
    <x v="53"/>
    <x v="240"/>
    <x v="228"/>
    <x v="87"/>
    <n v="15"/>
    <n v="50"/>
    <s v=" "/>
    <n v="50"/>
    <s v="-"/>
    <x v="1"/>
    <s v="10/24/2023"/>
    <n v="111000025"/>
    <n v="488108216185"/>
  </r>
  <r>
    <x v="53"/>
    <x v="103"/>
    <x v="101"/>
    <x v="34"/>
    <n v="20"/>
    <n v="45"/>
    <s v=" "/>
    <n v="45"/>
    <s v="-"/>
    <x v="1"/>
    <s v="10/24/2023"/>
    <n v="314089681"/>
    <n v="225927393"/>
  </r>
  <r>
    <x v="53"/>
    <x v="104"/>
    <x v="102"/>
    <x v="50"/>
    <n v="60"/>
    <n v="0"/>
    <s v=" "/>
    <n v="0"/>
    <s v="-"/>
    <x v="1"/>
    <s v="10/24/2023"/>
    <n v="121042882"/>
    <n v="7518769067"/>
  </r>
  <r>
    <x v="53"/>
    <x v="81"/>
    <x v="81"/>
    <x v="33"/>
    <n v="15"/>
    <n v="50"/>
    <s v=" "/>
    <n v="50"/>
    <s v="-"/>
    <x v="1"/>
    <s v="10/24/2023"/>
    <n v="111900659"/>
    <n v="3805508938"/>
  </r>
  <r>
    <x v="53"/>
    <x v="57"/>
    <x v="57"/>
    <x v="21"/>
    <n v="25"/>
    <n v="35"/>
    <s v=" "/>
    <n v="35"/>
    <s v="-"/>
    <x v="1"/>
    <s v="10/25/2023"/>
    <n v="114000093"/>
    <n v="59251900"/>
  </r>
  <r>
    <x v="53"/>
    <x v="55"/>
    <x v="55"/>
    <x v="20"/>
    <n v="40"/>
    <n v="25"/>
    <s v=" "/>
    <n v="25"/>
    <s v="-"/>
    <x v="1"/>
    <s v="10/24/2023"/>
    <n v="314089681"/>
    <n v="188736177"/>
  </r>
  <r>
    <x v="53"/>
    <x v="108"/>
    <x v="106"/>
    <x v="53"/>
    <n v="20"/>
    <n v="40"/>
    <s v=" "/>
    <n v="40"/>
    <s v="-"/>
    <x v="1"/>
    <s v="10/24/2023"/>
    <n v="111000614"/>
    <n v="112335069"/>
  </r>
  <r>
    <x v="53"/>
    <x v="109"/>
    <x v="107"/>
    <x v="30"/>
    <n v="21"/>
    <n v="19"/>
    <s v=" "/>
    <n v="19"/>
    <s v="-"/>
    <x v="1"/>
    <s v="10/31/2023"/>
    <n v="111900659"/>
    <n v="1007239476"/>
  </r>
  <r>
    <x v="53"/>
    <x v="372"/>
    <x v="345"/>
    <x v="89"/>
    <n v="25"/>
    <n v="40"/>
    <n v="10"/>
    <n v="50"/>
    <s v="-"/>
    <x v="1"/>
    <s v="10/24/2023"/>
    <n v="125109019"/>
    <n v="875103061318"/>
  </r>
  <r>
    <x v="53"/>
    <x v="248"/>
    <x v="236"/>
    <x v="96"/>
    <n v="35"/>
    <n v="25"/>
    <s v=" "/>
    <n v="25"/>
    <s v="-"/>
    <x v="1"/>
    <s v="10/24/2023"/>
    <m/>
    <m/>
  </r>
  <r>
    <x v="53"/>
    <x v="373"/>
    <x v="346"/>
    <x v="76"/>
    <n v="35"/>
    <n v="30"/>
    <n v="10"/>
    <n v="40"/>
    <s v="-"/>
    <x v="1"/>
    <s v="10/24/2023"/>
    <n v="314977104"/>
    <n v="589551"/>
  </r>
  <r>
    <x v="53"/>
    <x v="250"/>
    <x v="238"/>
    <x v="58"/>
    <n v="31"/>
    <n v="34"/>
    <s v=" "/>
    <n v="34"/>
    <s v="-"/>
    <x v="1"/>
    <s v="10/24/2023"/>
    <n v="314977405"/>
    <n v="900931267"/>
  </r>
  <r>
    <x v="53"/>
    <x v="11"/>
    <x v="11"/>
    <x v="4"/>
    <n v="32"/>
    <n v="33"/>
    <s v=" "/>
    <n v="33"/>
    <s v="-"/>
    <x v="1"/>
    <s v="10/26/2023"/>
    <m/>
    <m/>
  </r>
  <r>
    <x v="53"/>
    <x v="252"/>
    <x v="228"/>
    <x v="71"/>
    <n v="25"/>
    <n v="40"/>
    <s v=" "/>
    <n v="40"/>
    <s v="-"/>
    <x v="1"/>
    <s v="10/30/2023"/>
    <m/>
    <m/>
  </r>
  <r>
    <x v="53"/>
    <x v="255"/>
    <x v="242"/>
    <x v="54"/>
    <n v="2"/>
    <n v="63"/>
    <s v=" "/>
    <n v="63"/>
    <s v="-"/>
    <x v="1"/>
    <s v="10/31/2023"/>
    <n v="114000093"/>
    <n v="584219511"/>
  </r>
  <r>
    <x v="53"/>
    <x v="256"/>
    <x v="243"/>
    <x v="42"/>
    <n v="15"/>
    <n v="50"/>
    <s v=" "/>
    <n v="50"/>
    <s v="-"/>
    <x v="1"/>
    <s v="10/27/2023"/>
    <n v="111900659"/>
    <n v="2415203955"/>
  </r>
  <r>
    <x v="53"/>
    <x v="117"/>
    <x v="114"/>
    <x v="57"/>
    <n v="16"/>
    <n v="44"/>
    <s v=" "/>
    <n v="44"/>
    <s v="-"/>
    <x v="0"/>
    <s v="10/31/2023"/>
    <n v="111000614"/>
    <n v="356579018"/>
  </r>
  <r>
    <x v="53"/>
    <x v="374"/>
    <x v="347"/>
    <x v="115"/>
    <n v="0"/>
    <n v="60"/>
    <s v=" "/>
    <n v="60"/>
    <s v="-"/>
    <x v="1"/>
    <s v="10/24/2023"/>
    <m/>
    <m/>
  </r>
  <r>
    <x v="53"/>
    <x v="325"/>
    <x v="305"/>
    <x v="54"/>
    <n v="10"/>
    <n v="55"/>
    <s v=" "/>
    <n v="55"/>
    <s v="-"/>
    <x v="1"/>
    <s v="10/31/2023"/>
    <n v="114000093"/>
    <n v="584219511"/>
  </r>
  <r>
    <x v="53"/>
    <x v="257"/>
    <x v="244"/>
    <x v="47"/>
    <n v="20"/>
    <n v="45"/>
    <s v=" "/>
    <n v="45"/>
    <s v="-"/>
    <x v="1"/>
    <s v="10/24/2023"/>
    <n v="314088572"/>
    <n v="1588864"/>
  </r>
  <r>
    <x v="53"/>
    <x v="286"/>
    <x v="269"/>
    <x v="34"/>
    <n v="15"/>
    <n v="45"/>
    <s v=" "/>
    <n v="45"/>
    <s v="-"/>
    <x v="1"/>
    <s v="10/24/2023"/>
    <n v="314089681"/>
    <n v="225927393"/>
  </r>
  <r>
    <x v="53"/>
    <x v="260"/>
    <x v="246"/>
    <x v="46"/>
    <n v="20"/>
    <n v="40"/>
    <s v=" "/>
    <n v="40"/>
    <s v="-"/>
    <x v="1"/>
    <s v="10/24/2023"/>
    <n v="111900659"/>
    <n v="2232144119"/>
  </r>
  <r>
    <x v="53"/>
    <x v="289"/>
    <x v="272"/>
    <x v="54"/>
    <n v="15"/>
    <n v="45"/>
    <s v=" "/>
    <n v="45"/>
    <s v="-"/>
    <x v="1"/>
    <s v="10/31/2023"/>
    <n v="114000093"/>
    <n v="584219511"/>
  </r>
  <r>
    <x v="53"/>
    <x v="262"/>
    <x v="245"/>
    <x v="51"/>
    <n v="25"/>
    <n v="35"/>
    <s v=" "/>
    <n v="35"/>
    <s v="-"/>
    <x v="1"/>
    <s v="10/24/2023"/>
    <n v="314977104"/>
    <n v="569956"/>
  </r>
  <r>
    <x v="53"/>
    <x v="311"/>
    <x v="293"/>
    <x v="54"/>
    <n v="40"/>
    <n v="20"/>
    <s v=" "/>
    <n v="20"/>
    <s v="-"/>
    <x v="1"/>
    <s v="10/31/2023"/>
    <n v="114000093"/>
    <n v="584219511"/>
  </r>
  <r>
    <x v="53"/>
    <x v="263"/>
    <x v="248"/>
    <x v="20"/>
    <n v="20"/>
    <n v="40"/>
    <s v=" "/>
    <n v="40"/>
    <s v="-"/>
    <x v="1"/>
    <s v="10/24/2023"/>
    <n v="314089681"/>
    <n v="188736177"/>
  </r>
  <r>
    <x v="53"/>
    <x v="375"/>
    <x v="348"/>
    <x v="33"/>
    <n v="35"/>
    <n v="25"/>
    <s v=" "/>
    <n v="25"/>
    <s v="-"/>
    <x v="1"/>
    <s v="10/24/2023"/>
    <n v="111900659"/>
    <n v="3805508938"/>
  </r>
  <r>
    <x v="53"/>
    <x v="266"/>
    <x v="5"/>
    <x v="99"/>
    <n v="12"/>
    <n v="48"/>
    <s v=" "/>
    <n v="48"/>
    <s v="-"/>
    <x v="1"/>
    <s v="10/24/2023"/>
    <n v="314977175"/>
    <n v="1800272855"/>
  </r>
  <r>
    <x v="53"/>
    <x v="122"/>
    <x v="119"/>
    <x v="43"/>
    <n v="12"/>
    <n v="53"/>
    <s v=" "/>
    <n v="53"/>
    <s v="-"/>
    <x v="1"/>
    <s v="10/26/2023"/>
    <n v="114993906"/>
    <s v="009165659357"/>
  </r>
  <r>
    <x v="53"/>
    <x v="56"/>
    <x v="56"/>
    <x v="20"/>
    <n v="35"/>
    <n v="30"/>
    <s v=" "/>
    <n v="30"/>
    <s v="-"/>
    <x v="1"/>
    <s v="10/24/2023"/>
    <n v="314089681"/>
    <n v="188736177"/>
  </r>
  <r>
    <x v="53"/>
    <x v="124"/>
    <x v="121"/>
    <x v="61"/>
    <n v="0"/>
    <n v="65"/>
    <s v=" "/>
    <n v="65"/>
    <s v="-"/>
    <x v="0"/>
    <s v="10/24/2023"/>
    <n v="111900659"/>
    <n v="8568595873"/>
  </r>
  <r>
    <x v="53"/>
    <x v="268"/>
    <x v="252"/>
    <x v="33"/>
    <n v="6"/>
    <n v="54"/>
    <s v=" "/>
    <n v="54"/>
    <s v="-"/>
    <x v="1"/>
    <s v="10/24/2023"/>
    <n v="111900659"/>
    <n v="3805508938"/>
  </r>
  <r>
    <x v="53"/>
    <x v="28"/>
    <x v="28"/>
    <x v="4"/>
    <n v="25"/>
    <n v="40"/>
    <s v=" "/>
    <n v="40"/>
    <s v="-"/>
    <x v="1"/>
    <s v="10/26/2023"/>
    <m/>
    <m/>
  </r>
  <r>
    <x v="53"/>
    <x v="376"/>
    <x v="349"/>
    <x v="85"/>
    <n v="10"/>
    <n v="55"/>
    <s v=" "/>
    <n v="55"/>
    <s v="-"/>
    <x v="1"/>
    <s v="10/25/2023"/>
    <n v="111900659"/>
    <n v="1735145326"/>
  </r>
  <r>
    <x v="53"/>
    <x v="236"/>
    <x v="16"/>
    <x v="31"/>
    <n v="20"/>
    <n v="40"/>
    <s v=" "/>
    <n v="40"/>
    <s v="-"/>
    <x v="1"/>
    <s v="10/31/2023"/>
    <n v="111000614"/>
    <n v="1559897432"/>
  </r>
  <r>
    <x v="53"/>
    <x v="128"/>
    <x v="124"/>
    <x v="51"/>
    <n v="25"/>
    <n v="40"/>
    <s v=" "/>
    <n v="40"/>
    <s v="-"/>
    <x v="1"/>
    <s v="10/24/2023"/>
    <n v="314977104"/>
    <n v="569956"/>
  </r>
  <r>
    <x v="53"/>
    <x v="131"/>
    <x v="127"/>
    <x v="57"/>
    <n v="50"/>
    <n v="10"/>
    <s v=" "/>
    <n v="10"/>
    <s v="-"/>
    <x v="1"/>
    <s v="10/31/2023"/>
    <n v="111000614"/>
    <n v="356579018"/>
  </r>
  <r>
    <x v="53"/>
    <x v="51"/>
    <x v="51"/>
    <x v="6"/>
    <n v="0"/>
    <n v="60"/>
    <s v=" "/>
    <n v="60"/>
    <s v="-"/>
    <x v="1"/>
    <s v="10/26/2023"/>
    <n v="111000614"/>
    <n v="791103770"/>
  </r>
  <r>
    <x v="53"/>
    <x v="295"/>
    <x v="277"/>
    <x v="31"/>
    <n v="0"/>
    <n v="65"/>
    <s v=" "/>
    <n v="65"/>
    <s v="-"/>
    <x v="1"/>
    <s v="10/31/2023"/>
    <n v="111000614"/>
    <n v="1559897432"/>
  </r>
  <r>
    <x v="54"/>
    <x v="134"/>
    <x v="129"/>
    <x v="63"/>
    <n v="25"/>
    <n v="35"/>
    <s v=" "/>
    <n v="35"/>
    <s v="-"/>
    <x v="1"/>
    <s v="10/26/2023"/>
    <n v="314977405"/>
    <n v="1800900435064"/>
  </r>
  <r>
    <x v="54"/>
    <x v="174"/>
    <x v="167"/>
    <x v="101"/>
    <n v="20"/>
    <n v="55"/>
    <s v=" "/>
    <n v="55"/>
    <s v="-"/>
    <x v="1"/>
    <s v="10/25/2023"/>
    <n v="314977405"/>
    <n v="1800901381103"/>
  </r>
  <r>
    <x v="54"/>
    <x v="29"/>
    <x v="29"/>
    <x v="11"/>
    <n v="20"/>
    <n v="40"/>
    <s v=" "/>
    <n v="40"/>
    <s v="-"/>
    <x v="1"/>
    <s v="10/26/2023"/>
    <n v="314977405"/>
    <n v="901205198"/>
  </r>
  <r>
    <x v="54"/>
    <x v="274"/>
    <x v="257"/>
    <x v="54"/>
    <n v="20"/>
    <n v="40"/>
    <s v=" "/>
    <n v="40"/>
    <s v="-"/>
    <x v="1"/>
    <s v="10/31/2023"/>
    <n v="114000093"/>
    <n v="584219511"/>
  </r>
  <r>
    <x v="54"/>
    <x v="275"/>
    <x v="258"/>
    <x v="98"/>
    <n v="15"/>
    <n v="50"/>
    <s v=" "/>
    <n v="50"/>
    <s v="-"/>
    <x v="1"/>
    <s v="10/25/2023"/>
    <n v="111000614"/>
    <n v="312825737"/>
  </r>
  <r>
    <x v="54"/>
    <x v="277"/>
    <x v="260"/>
    <x v="70"/>
    <n v="10"/>
    <n v="50"/>
    <s v=" "/>
    <n v="50"/>
    <s v="-"/>
    <x v="1"/>
    <s v="10/25/2023"/>
    <n v="111000614"/>
    <n v="637882736"/>
  </r>
  <r>
    <x v="54"/>
    <x v="278"/>
    <x v="261"/>
    <x v="101"/>
    <n v="15"/>
    <n v="60"/>
    <s v=" "/>
    <n v="60"/>
    <s v="-"/>
    <x v="1"/>
    <s v="10/25/2023"/>
    <n v="314977405"/>
    <n v="1800901381103"/>
  </r>
  <r>
    <x v="54"/>
    <x v="377"/>
    <x v="350"/>
    <x v="57"/>
    <n v="15"/>
    <n v="50"/>
    <s v=" "/>
    <n v="50"/>
    <s v="-"/>
    <x v="1"/>
    <s v="10/31/2023"/>
    <n v="111000614"/>
    <n v="356579018"/>
  </r>
  <r>
    <x v="54"/>
    <x v="279"/>
    <x v="262"/>
    <x v="102"/>
    <n v="12"/>
    <n v="48"/>
    <s v=" "/>
    <n v="48"/>
    <s v="-"/>
    <x v="1"/>
    <s v="10/25/2023"/>
    <n v="314089681"/>
    <s v="09749914"/>
  </r>
  <r>
    <x v="54"/>
    <x v="31"/>
    <x v="31"/>
    <x v="5"/>
    <n v="11"/>
    <n v="49"/>
    <s v=" "/>
    <n v="49"/>
    <s v="-"/>
    <x v="1"/>
    <s v="10/30/2023"/>
    <s v="071000013"/>
    <n v="1110027356722"/>
  </r>
  <r>
    <x v="54"/>
    <x v="280"/>
    <x v="263"/>
    <x v="99"/>
    <n v="25"/>
    <n v="40"/>
    <s v=" "/>
    <n v="40"/>
    <s v="-"/>
    <x v="1"/>
    <s v="10/26/2023"/>
    <n v="314977175"/>
    <n v="1800272855"/>
  </r>
  <r>
    <x v="54"/>
    <x v="142"/>
    <x v="137"/>
    <x v="54"/>
    <n v="20"/>
    <n v="40"/>
    <s v=" "/>
    <n v="40"/>
    <s v="-"/>
    <x v="1"/>
    <s v="10/31/2023"/>
    <n v="114000093"/>
    <n v="584219511"/>
  </r>
  <r>
    <x v="54"/>
    <x v="378"/>
    <x v="351"/>
    <x v="108"/>
    <n v="21"/>
    <n v="39"/>
    <s v=" "/>
    <n v="39"/>
    <s v="-"/>
    <x v="1"/>
    <s v="10/25/2023"/>
    <n v="114926012"/>
    <n v="1102400"/>
  </r>
  <r>
    <x v="54"/>
    <x v="144"/>
    <x v="37"/>
    <x v="30"/>
    <n v="4"/>
    <n v="36"/>
    <s v=" "/>
    <n v="36"/>
    <s v="-"/>
    <x v="1"/>
    <s v="10/31/2023"/>
    <n v="111900659"/>
    <n v="1007239476"/>
  </r>
  <r>
    <x v="54"/>
    <x v="146"/>
    <x v="140"/>
    <x v="47"/>
    <n v="20"/>
    <n v="45"/>
    <s v=" "/>
    <n v="45"/>
    <s v="-"/>
    <x v="1"/>
    <s v="10/25/2023"/>
    <n v="314088572"/>
    <n v="1588864"/>
  </r>
  <r>
    <x v="54"/>
    <x v="245"/>
    <x v="233"/>
    <x v="20"/>
    <n v="45"/>
    <n v="30"/>
    <s v=" "/>
    <n v="30"/>
    <s v="-"/>
    <x v="1"/>
    <s v="10/26/2023"/>
    <n v="314089681"/>
    <n v="188736177"/>
  </r>
  <r>
    <x v="54"/>
    <x v="112"/>
    <x v="110"/>
    <x v="52"/>
    <n v="10"/>
    <n v="50"/>
    <s v=" "/>
    <n v="50"/>
    <s v="-"/>
    <x v="1"/>
    <s v="10/31/2023"/>
    <n v="314089681"/>
    <n v="199140275"/>
  </r>
  <r>
    <x v="54"/>
    <x v="147"/>
    <x v="141"/>
    <x v="11"/>
    <n v="38"/>
    <n v="22"/>
    <s v=" "/>
    <n v="22"/>
    <s v="-"/>
    <x v="1"/>
    <s v="10/26/2023"/>
    <n v="314977405"/>
    <n v="901205198"/>
  </r>
  <r>
    <x v="54"/>
    <x v="152"/>
    <x v="146"/>
    <x v="65"/>
    <n v="6"/>
    <n v="59"/>
    <s v=" "/>
    <n v="59"/>
    <s v="-"/>
    <x v="1"/>
    <s v="10/30/2023"/>
    <n v="314977175"/>
    <n v="288940"/>
  </r>
  <r>
    <x v="54"/>
    <x v="153"/>
    <x v="147"/>
    <x v="30"/>
    <n v="20"/>
    <n v="20"/>
    <s v=" "/>
    <n v="20"/>
    <s v="-"/>
    <x v="1"/>
    <s v="10/31/2023"/>
    <n v="111900659"/>
    <n v="1007239476"/>
  </r>
  <r>
    <x v="54"/>
    <x v="379"/>
    <x v="352"/>
    <x v="58"/>
    <n v="20"/>
    <n v="45"/>
    <s v=" "/>
    <n v="45"/>
    <s v="-"/>
    <x v="1"/>
    <s v="10/25/2023"/>
    <n v="314977405"/>
    <n v="900931267"/>
  </r>
  <r>
    <x v="54"/>
    <x v="58"/>
    <x v="58"/>
    <x v="22"/>
    <n v="30"/>
    <n v="35"/>
    <s v=" "/>
    <n v="35"/>
    <s v="-"/>
    <x v="1"/>
    <s v="10/26/2023"/>
    <n v="314977405"/>
    <n v="901598282"/>
  </r>
  <r>
    <x v="54"/>
    <x v="334"/>
    <x v="314"/>
    <x v="69"/>
    <n v="50"/>
    <n v="10"/>
    <s v=" "/>
    <n v="10"/>
    <s v="-"/>
    <x v="1"/>
    <s v="10/25/2023"/>
    <n v="111000614"/>
    <n v="876677332"/>
  </r>
  <r>
    <x v="54"/>
    <x v="59"/>
    <x v="59"/>
    <x v="23"/>
    <n v="35"/>
    <n v="30"/>
    <s v=" "/>
    <n v="30"/>
    <s v="-"/>
    <x v="1"/>
    <s v="10/25/2023"/>
    <m/>
    <m/>
  </r>
  <r>
    <x v="54"/>
    <x v="284"/>
    <x v="267"/>
    <x v="63"/>
    <n v="20"/>
    <n v="40"/>
    <s v=" "/>
    <n v="40"/>
    <s v="-"/>
    <x v="1"/>
    <s v="10/26/2023"/>
    <n v="314977405"/>
    <n v="1800900435064"/>
  </r>
  <r>
    <x v="54"/>
    <x v="380"/>
    <x v="353"/>
    <x v="36"/>
    <n v="25"/>
    <n v="35"/>
    <s v=" "/>
    <n v="35"/>
    <s v="-"/>
    <x v="1"/>
    <s v="10/31/2023"/>
    <n v="113010547"/>
    <s v="01089622"/>
  </r>
  <r>
    <x v="54"/>
    <x v="381"/>
    <x v="354"/>
    <x v="5"/>
    <n v="60"/>
    <n v="0"/>
    <s v=" "/>
    <n v="0"/>
    <s v="-"/>
    <x v="1"/>
    <s v="10/30/2023"/>
    <s v="071000013"/>
    <n v="1110027356722"/>
  </r>
  <r>
    <x v="54"/>
    <x v="382"/>
    <x v="54"/>
    <x v="95"/>
    <n v="11"/>
    <n v="54"/>
    <s v=" "/>
    <n v="54"/>
    <s v="-"/>
    <x v="1"/>
    <s v="10/25/2023"/>
    <n v="314977191"/>
    <n v="1080003377345"/>
  </r>
  <r>
    <x v="54"/>
    <x v="313"/>
    <x v="295"/>
    <x v="57"/>
    <n v="11"/>
    <n v="54"/>
    <s v=" "/>
    <n v="54"/>
    <s v="-"/>
    <x v="1"/>
    <s v="10/31/2023"/>
    <n v="111000614"/>
    <n v="356579018"/>
  </r>
  <r>
    <x v="54"/>
    <x v="383"/>
    <x v="347"/>
    <x v="49"/>
    <n v="0"/>
    <n v="75"/>
    <s v=" "/>
    <n v="75"/>
    <s v="-"/>
    <x v="1"/>
    <s v="10/25/2023"/>
    <n v="111000025"/>
    <n v="488113380857"/>
  </r>
  <r>
    <x v="54"/>
    <x v="384"/>
    <x v="19"/>
    <x v="24"/>
    <n v="10"/>
    <n v="50"/>
    <s v=" "/>
    <n v="50"/>
    <s v="-"/>
    <x v="1"/>
    <s v="10/27/2023"/>
    <n v="307084211"/>
    <s v="0009508340025"/>
  </r>
  <r>
    <x v="54"/>
    <x v="385"/>
    <x v="355"/>
    <x v="116"/>
    <n v="25"/>
    <n v="35"/>
    <s v=" "/>
    <n v="35"/>
    <s v="-"/>
    <x v="1"/>
    <s v="10/25/2023"/>
    <n v="211370150"/>
    <n v="98929262"/>
  </r>
  <r>
    <x v="54"/>
    <x v="316"/>
    <x v="298"/>
    <x v="89"/>
    <n v="35"/>
    <n v="30"/>
    <s v=" "/>
    <n v="30"/>
    <s v="-"/>
    <x v="1"/>
    <s v="10/25/2023"/>
    <n v="125109019"/>
    <n v="875103061318"/>
  </r>
  <r>
    <x v="54"/>
    <x v="42"/>
    <x v="42"/>
    <x v="12"/>
    <n v="15"/>
    <n v="50"/>
    <s v=" "/>
    <n v="50"/>
    <s v="-"/>
    <x v="1"/>
    <s v="10/30/2023"/>
    <n v="111900659"/>
    <n v="8721262510"/>
  </r>
  <r>
    <x v="54"/>
    <x v="294"/>
    <x v="204"/>
    <x v="104"/>
    <n v="30"/>
    <n v="35"/>
    <s v=" "/>
    <n v="35"/>
    <s v="-"/>
    <x v="1"/>
    <s v="10/26/2023"/>
    <n v="314977405"/>
    <n v="1810901573859"/>
  </r>
  <r>
    <x v="54"/>
    <x v="167"/>
    <x v="161"/>
    <x v="20"/>
    <n v="35"/>
    <n v="40"/>
    <s v=" "/>
    <n v="40"/>
    <s v="-"/>
    <x v="1"/>
    <s v="10/26/2023"/>
    <n v="314089681"/>
    <n v="188736177"/>
  </r>
  <r>
    <x v="54"/>
    <x v="34"/>
    <x v="34"/>
    <x v="12"/>
    <n v="10"/>
    <n v="50"/>
    <s v=" "/>
    <n v="50"/>
    <s v="-"/>
    <x v="1"/>
    <s v="10/11/2023"/>
    <n v="111900659"/>
    <n v="8721262510"/>
  </r>
  <r>
    <x v="54"/>
    <x v="327"/>
    <x v="307"/>
    <x v="46"/>
    <n v="10"/>
    <n v="55"/>
    <s v=" "/>
    <n v="55"/>
    <s v="-"/>
    <x v="1"/>
    <s v="10/25/2023"/>
    <n v="111900659"/>
    <n v="2232144119"/>
  </r>
  <r>
    <x v="54"/>
    <x v="270"/>
    <x v="37"/>
    <x v="27"/>
    <n v="20"/>
    <n v="45"/>
    <s v=" "/>
    <n v="45"/>
    <s v="-"/>
    <x v="1"/>
    <s v="10/31/2023"/>
    <n v="111900659"/>
    <n v="5025887380"/>
  </r>
  <r>
    <x v="54"/>
    <x v="170"/>
    <x v="164"/>
    <x v="25"/>
    <n v="0"/>
    <n v="65"/>
    <s v=" "/>
    <n v="65"/>
    <s v="-"/>
    <x v="1"/>
    <s v="10/25/2023"/>
    <n v="314977133"/>
    <n v="2009789120"/>
  </r>
  <r>
    <x v="54"/>
    <x v="296"/>
    <x v="278"/>
    <x v="85"/>
    <n v="20"/>
    <n v="45"/>
    <s v=" "/>
    <n v="45"/>
    <s v="-"/>
    <x v="1"/>
    <s v="10/25/2023"/>
    <n v="111900659"/>
    <n v="1735145326"/>
  </r>
  <r>
    <x v="55"/>
    <x v="297"/>
    <x v="279"/>
    <x v="81"/>
    <n v="25"/>
    <n v="40"/>
    <s v=" "/>
    <n v="40"/>
    <s v="-"/>
    <x v="1"/>
    <s v="10/26/2023"/>
    <n v="111901056"/>
    <n v="1122756693"/>
  </r>
  <r>
    <x v="55"/>
    <x v="386"/>
    <x v="356"/>
    <x v="41"/>
    <n v="15"/>
    <n v="50"/>
    <s v=" "/>
    <n v="50"/>
    <s v="-"/>
    <x v="1"/>
    <s v="10/26/2023"/>
    <n v="113000023"/>
    <n v="586034246778"/>
  </r>
  <r>
    <x v="55"/>
    <x v="175"/>
    <x v="168"/>
    <x v="68"/>
    <n v="36"/>
    <n v="24"/>
    <s v=" "/>
    <n v="24"/>
    <s v="-"/>
    <x v="1"/>
    <s v="10/26/2023"/>
    <n v="314977298"/>
    <n v="1810039239"/>
  </r>
  <r>
    <x v="55"/>
    <x v="298"/>
    <x v="280"/>
    <x v="31"/>
    <n v="15"/>
    <n v="45"/>
    <s v=" "/>
    <n v="45"/>
    <s v="-"/>
    <x v="1"/>
    <s v="10/31/2023"/>
    <n v="111000614"/>
    <n v="1559897432"/>
  </r>
  <r>
    <x v="55"/>
    <x v="239"/>
    <x v="227"/>
    <x v="77"/>
    <n v="30"/>
    <n v="35"/>
    <s v=" "/>
    <n v="35"/>
    <s v="-"/>
    <x v="1"/>
    <s v="10/31/2023"/>
    <s v="071921891"/>
    <n v="4952904048"/>
  </r>
  <r>
    <x v="55"/>
    <x v="102"/>
    <x v="100"/>
    <x v="33"/>
    <n v="0"/>
    <n v="65"/>
    <s v=" "/>
    <n v="65"/>
    <s v="-"/>
    <x v="1"/>
    <s v="10/26/2023"/>
    <n v="111900659"/>
    <n v="3805508938"/>
  </r>
  <r>
    <x v="55"/>
    <x v="183"/>
    <x v="176"/>
    <x v="78"/>
    <n v="10"/>
    <n v="55"/>
    <s v=" "/>
    <n v="55"/>
    <s v="-"/>
    <x v="1"/>
    <s v="10/26/2023"/>
    <n v="314977175"/>
    <n v="1800272855"/>
  </r>
  <r>
    <x v="55"/>
    <x v="302"/>
    <x v="284"/>
    <x v="71"/>
    <n v="1"/>
    <n v="64"/>
    <s v=" "/>
    <n v="64"/>
    <s v="-"/>
    <x v="1"/>
    <s v="10/30/2023"/>
    <m/>
    <m/>
  </r>
  <r>
    <x v="55"/>
    <x v="305"/>
    <x v="287"/>
    <x v="71"/>
    <n v="10"/>
    <n v="50"/>
    <s v=" "/>
    <n v="50"/>
    <s v="-"/>
    <x v="1"/>
    <s v="10/30/2023"/>
    <m/>
    <m/>
  </r>
  <r>
    <x v="55"/>
    <x v="212"/>
    <x v="202"/>
    <x v="13"/>
    <n v="10"/>
    <n v="55"/>
    <s v=" "/>
    <n v="55"/>
    <s v="-"/>
    <x v="1"/>
    <s v="10/26/2023"/>
    <m/>
    <m/>
  </r>
  <r>
    <x v="55"/>
    <x v="306"/>
    <x v="288"/>
    <x v="33"/>
    <n v="15"/>
    <n v="45"/>
    <s v=" "/>
    <n v="45"/>
    <s v="-"/>
    <x v="1"/>
    <s v="10/26/2023"/>
    <n v="111900659"/>
    <n v="3805508938"/>
  </r>
  <r>
    <x v="55"/>
    <x v="387"/>
    <x v="357"/>
    <x v="114"/>
    <n v="20"/>
    <n v="40"/>
    <s v=" "/>
    <n v="40"/>
    <s v="-"/>
    <x v="1"/>
    <s v="10/26/2023"/>
    <m/>
    <m/>
  </r>
  <r>
    <x v="55"/>
    <x v="388"/>
    <x v="358"/>
    <x v="107"/>
    <n v="25"/>
    <n v="35"/>
    <s v=" "/>
    <n v="35"/>
    <s v="-"/>
    <x v="1"/>
    <s v="10/26/2023"/>
    <n v="314074269"/>
    <n v="16967364"/>
  </r>
  <r>
    <x v="55"/>
    <x v="308"/>
    <x v="290"/>
    <x v="52"/>
    <n v="16"/>
    <n v="49"/>
    <s v=" "/>
    <n v="49"/>
    <s v="-"/>
    <x v="1"/>
    <s v="10/31/2023"/>
    <n v="314089681"/>
    <n v="199140275"/>
  </r>
  <r>
    <x v="55"/>
    <x v="189"/>
    <x v="182"/>
    <x v="80"/>
    <n v="17"/>
    <n v="43"/>
    <s v=" "/>
    <n v="43"/>
    <s v="-"/>
    <x v="1"/>
    <s v="10/26/2023"/>
    <n v="111900659"/>
    <n v="8628015094"/>
  </r>
  <r>
    <x v="55"/>
    <x v="61"/>
    <x v="61"/>
    <x v="24"/>
    <n v="0"/>
    <n v="65"/>
    <s v=" "/>
    <n v="65"/>
    <s v="-"/>
    <x v="1"/>
    <s v="10/27/2023"/>
    <n v="307084211"/>
    <s v="0009508340025"/>
  </r>
  <r>
    <x v="55"/>
    <x v="389"/>
    <x v="16"/>
    <x v="58"/>
    <n v="20"/>
    <n v="45"/>
    <s v=" "/>
    <n v="45"/>
    <s v="-"/>
    <x v="1"/>
    <s v="10/26/2023"/>
    <n v="314977405"/>
    <n v="900931267"/>
  </r>
  <r>
    <x v="55"/>
    <x v="285"/>
    <x v="268"/>
    <x v="65"/>
    <n v="0"/>
    <n v="75"/>
    <s v=" "/>
    <n v="75"/>
    <s v="-"/>
    <x v="1"/>
    <s v="10/30/2023"/>
    <n v="314977175"/>
    <n v="288940"/>
  </r>
  <r>
    <x v="55"/>
    <x v="40"/>
    <x v="40"/>
    <x v="11"/>
    <n v="5"/>
    <n v="35"/>
    <s v=" "/>
    <n v="35"/>
    <s v="-"/>
    <x v="1"/>
    <s v="10/26/2023"/>
    <n v="314977405"/>
    <n v="901205198"/>
  </r>
  <r>
    <x v="55"/>
    <x v="310"/>
    <x v="292"/>
    <x v="66"/>
    <n v="30"/>
    <n v="30"/>
    <s v=" "/>
    <n v="30"/>
    <s v="-"/>
    <x v="1"/>
    <s v="10/30/2023"/>
    <n v="314977405"/>
    <n v="1830900455112"/>
  </r>
  <r>
    <x v="55"/>
    <x v="261"/>
    <x v="247"/>
    <x v="65"/>
    <n v="30"/>
    <n v="65"/>
    <s v=" "/>
    <n v="65"/>
    <s v="-"/>
    <x v="1"/>
    <s v="10/30/2023"/>
    <n v="314977175"/>
    <n v="288940"/>
  </r>
  <r>
    <x v="55"/>
    <x v="314"/>
    <x v="296"/>
    <x v="70"/>
    <n v="15"/>
    <n v="45"/>
    <s v=" "/>
    <n v="45"/>
    <s v="-"/>
    <x v="1"/>
    <s v="10/26/2023"/>
    <n v="111000614"/>
    <n v="637882736"/>
  </r>
  <r>
    <x v="55"/>
    <x v="93"/>
    <x v="93"/>
    <x v="45"/>
    <n v="25"/>
    <n v="35"/>
    <s v=" "/>
    <n v="35"/>
    <s v="-"/>
    <x v="1"/>
    <s v="10/26/2023"/>
    <n v="314977405"/>
    <n v="1800900913423"/>
  </r>
  <r>
    <x v="55"/>
    <x v="199"/>
    <x v="192"/>
    <x v="84"/>
    <n v="15"/>
    <n v="45"/>
    <s v=" "/>
    <n v="45"/>
    <s v="-"/>
    <x v="1"/>
    <s v="10/26/2023"/>
    <m/>
    <m/>
  </r>
  <r>
    <x v="55"/>
    <x v="317"/>
    <x v="299"/>
    <x v="67"/>
    <n v="20"/>
    <n v="40"/>
    <s v=" "/>
    <n v="40"/>
    <s v="-"/>
    <x v="1"/>
    <s v="10/26/2023"/>
    <n v="314977405"/>
    <n v="1800901554698"/>
  </r>
  <r>
    <x v="55"/>
    <x v="95"/>
    <x v="79"/>
    <x v="31"/>
    <n v="30"/>
    <n v="45"/>
    <s v=" "/>
    <n v="45"/>
    <s v="-"/>
    <x v="1"/>
    <s v="10/31/2023"/>
    <n v="111000614"/>
    <n v="1559897432"/>
  </r>
  <r>
    <x v="55"/>
    <x v="318"/>
    <x v="271"/>
    <x v="54"/>
    <n v="15"/>
    <n v="45"/>
    <s v=" "/>
    <n v="45"/>
    <s v="-"/>
    <x v="1"/>
    <s v="10/31/2023"/>
    <n v="114000093"/>
    <n v="584219511"/>
  </r>
  <r>
    <x v="55"/>
    <x v="163"/>
    <x v="157"/>
    <x v="47"/>
    <n v="30"/>
    <n v="35"/>
    <s v=" "/>
    <n v="35"/>
    <s v="-"/>
    <x v="0"/>
    <s v="10/26/2023"/>
    <n v="314088572"/>
    <n v="1588864"/>
  </r>
  <r>
    <x v="55"/>
    <x v="319"/>
    <x v="300"/>
    <x v="81"/>
    <n v="20"/>
    <n v="45"/>
    <s v=" "/>
    <n v="45"/>
    <s v="-"/>
    <x v="1"/>
    <s v="10/26/2023"/>
    <n v="111901056"/>
    <n v="1122756693"/>
  </r>
  <r>
    <x v="55"/>
    <x v="358"/>
    <x v="333"/>
    <x v="112"/>
    <n v="5"/>
    <n v="55"/>
    <s v=" "/>
    <n v="55"/>
    <s v="-"/>
    <x v="1"/>
    <s v="10/26/2023"/>
    <n v="113010547"/>
    <n v="6740541186"/>
  </r>
  <r>
    <x v="55"/>
    <x v="390"/>
    <x v="359"/>
    <x v="44"/>
    <n v="20"/>
    <n v="45"/>
    <n v="10"/>
    <n v="55"/>
    <s v="-"/>
    <x v="1"/>
    <s v="10/26/2023"/>
    <n v="111000025"/>
    <n v="488106198399"/>
  </r>
  <r>
    <x v="56"/>
    <x v="222"/>
    <x v="212"/>
    <x v="23"/>
    <n v="15"/>
    <n v="50"/>
    <s v=" "/>
    <n v="50"/>
    <s v="-"/>
    <x v="1"/>
    <s v="10/29/2023"/>
    <m/>
    <m/>
  </r>
  <r>
    <x v="56"/>
    <x v="209"/>
    <x v="200"/>
    <x v="31"/>
    <n v="35"/>
    <n v="30"/>
    <s v=" "/>
    <n v="30"/>
    <s v="-"/>
    <x v="1"/>
    <s v="10/31/2023"/>
    <n v="111000614"/>
    <n v="1559897432"/>
  </r>
  <r>
    <x v="56"/>
    <x v="344"/>
    <x v="322"/>
    <x v="64"/>
    <n v="0"/>
    <n v="65"/>
    <s v=" "/>
    <n v="65"/>
    <s v="-"/>
    <x v="1"/>
    <s v="10/29/2023"/>
    <n v="314977405"/>
    <n v="1800901050415"/>
  </r>
  <r>
    <x v="56"/>
    <x v="391"/>
    <x v="360"/>
    <x v="65"/>
    <n v="0"/>
    <n v="65"/>
    <s v=" "/>
    <n v="65"/>
    <s v="-"/>
    <x v="1"/>
    <s v="10/30/2023"/>
    <n v="314977175"/>
    <n v="288940"/>
  </r>
  <r>
    <x v="56"/>
    <x v="211"/>
    <x v="201"/>
    <x v="90"/>
    <n v="20"/>
    <n v="45"/>
    <s v=" "/>
    <n v="45"/>
    <s v="-"/>
    <x v="1"/>
    <s v="10/27/2023"/>
    <n v="111000025"/>
    <n v="488111335590"/>
  </r>
  <r>
    <x v="56"/>
    <x v="181"/>
    <x v="174"/>
    <x v="77"/>
    <n v="0"/>
    <n v="65"/>
    <s v=" "/>
    <n v="65"/>
    <s v="-"/>
    <x v="0"/>
    <s v="10/31/2023"/>
    <s v="071921891"/>
    <n v="4952904048"/>
  </r>
  <r>
    <x v="56"/>
    <x v="392"/>
    <x v="361"/>
    <x v="31"/>
    <n v="20"/>
    <n v="55"/>
    <s v=" "/>
    <n v="55"/>
    <s v="-"/>
    <x v="1"/>
    <s v="10/31/2023"/>
    <n v="111000614"/>
    <n v="1559897432"/>
  </r>
  <r>
    <x v="56"/>
    <x v="144"/>
    <x v="37"/>
    <x v="30"/>
    <n v="3"/>
    <n v="62"/>
    <s v=" "/>
    <n v="62"/>
    <s v="-"/>
    <x v="1"/>
    <s v="10/31/2023"/>
    <n v="111900659"/>
    <n v="1007239476"/>
  </r>
  <r>
    <x v="56"/>
    <x v="246"/>
    <x v="234"/>
    <x v="30"/>
    <n v="40"/>
    <n v="25"/>
    <s v=" "/>
    <n v="25"/>
    <s v="-"/>
    <x v="1"/>
    <s v="10/31/2023"/>
    <n v="111900659"/>
    <n v="1007239476"/>
  </r>
  <r>
    <x v="56"/>
    <x v="153"/>
    <x v="147"/>
    <x v="30"/>
    <n v="20"/>
    <n v="40"/>
    <s v=" "/>
    <n v="40"/>
    <s v="-"/>
    <x v="1"/>
    <s v="10/31/2023"/>
    <n v="111900659"/>
    <n v="1007239476"/>
  </r>
  <r>
    <x v="56"/>
    <x v="335"/>
    <x v="315"/>
    <x v="52"/>
    <n v="15"/>
    <n v="45"/>
    <s v=" "/>
    <n v="45"/>
    <s v="-"/>
    <x v="1"/>
    <s v="10/31/2023"/>
    <n v="314089681"/>
    <n v="199140275"/>
  </r>
  <r>
    <x v="56"/>
    <x v="393"/>
    <x v="362"/>
    <x v="41"/>
    <n v="20"/>
    <n v="40"/>
    <s v=" "/>
    <n v="40"/>
    <s v="-"/>
    <x v="1"/>
    <s v="10/27/2023"/>
    <n v="113000023"/>
    <n v="586034246778"/>
  </r>
  <r>
    <x v="56"/>
    <x v="21"/>
    <x v="21"/>
    <x v="7"/>
    <n v="40"/>
    <n v="20"/>
    <s v=" "/>
    <n v="20"/>
    <s v="-"/>
    <x v="1"/>
    <s v="10/11/2023"/>
    <m/>
    <m/>
  </r>
  <r>
    <x v="56"/>
    <x v="326"/>
    <x v="306"/>
    <x v="54"/>
    <n v="35"/>
    <n v="25"/>
    <n v="10"/>
    <n v="35"/>
    <s v="-"/>
    <x v="1"/>
    <s v="10/31/2023"/>
    <n v="114000093"/>
    <n v="584219511"/>
  </r>
  <r>
    <x v="56"/>
    <x v="315"/>
    <x v="297"/>
    <x v="105"/>
    <n v="5"/>
    <n v="60"/>
    <s v=" "/>
    <n v="60"/>
    <s v="-"/>
    <x v="1"/>
    <s v="10/29/2023"/>
    <n v="314977175"/>
    <n v="1800272855"/>
  </r>
  <r>
    <x v="56"/>
    <x v="202"/>
    <x v="195"/>
    <x v="50"/>
    <n v="10"/>
    <n v="50"/>
    <s v=" "/>
    <n v="50"/>
    <s v="-"/>
    <x v="1"/>
    <s v="10/27/2023"/>
    <n v="121042882"/>
    <n v="7518769067"/>
  </r>
  <r>
    <x v="56"/>
    <x v="68"/>
    <x v="68"/>
    <x v="27"/>
    <n v="25"/>
    <n v="40"/>
    <s v=" "/>
    <n v="40"/>
    <s v="-"/>
    <x v="1"/>
    <s v="10/31/2023"/>
    <n v="111900659"/>
    <n v="5025887380"/>
  </r>
  <r>
    <x v="57"/>
    <x v="394"/>
    <x v="363"/>
    <x v="42"/>
    <n v="10"/>
    <n v="55"/>
    <s v=" "/>
    <n v="55"/>
    <s v="-"/>
    <x v="1"/>
    <s v="10/28/2023"/>
    <n v="111900659"/>
    <n v="2415203955"/>
  </r>
  <r>
    <x v="57"/>
    <x v="243"/>
    <x v="231"/>
    <x v="64"/>
    <n v="5"/>
    <n v="60"/>
    <s v=" "/>
    <n v="60"/>
    <s v="-"/>
    <x v="1"/>
    <s v="10/29/2023"/>
    <n v="314977405"/>
    <n v="1800901050415"/>
  </r>
  <r>
    <x v="57"/>
    <x v="367"/>
    <x v="217"/>
    <x v="31"/>
    <n v="16"/>
    <n v="44"/>
    <s v=" "/>
    <n v="44"/>
    <s v="-"/>
    <x v="1"/>
    <s v="10/31/2023"/>
    <n v="111000614"/>
    <n v="1559897432"/>
  </r>
  <r>
    <x v="57"/>
    <x v="395"/>
    <x v="364"/>
    <x v="49"/>
    <n v="0"/>
    <n v="65"/>
    <n v="10"/>
    <n v="75"/>
    <s v="-"/>
    <x v="1"/>
    <s v="10/28/2023"/>
    <n v="111000025"/>
    <n v="488113380857"/>
  </r>
  <r>
    <x v="57"/>
    <x v="272"/>
    <x v="255"/>
    <x v="42"/>
    <n v="0"/>
    <n v="65"/>
    <s v=" "/>
    <n v="65"/>
    <s v="-"/>
    <x v="1"/>
    <s v="10/28/2023"/>
    <n v="111900659"/>
    <n v="2415203955"/>
  </r>
  <r>
    <x v="58"/>
    <x v="70"/>
    <x v="70"/>
    <x v="29"/>
    <n v="10"/>
    <n v="55"/>
    <s v=" "/>
    <n v="55"/>
    <s v="-"/>
    <x v="1"/>
    <s v="10/29/2023"/>
    <s v="071921891"/>
    <n v="4952187173"/>
  </r>
  <r>
    <x v="58"/>
    <x v="305"/>
    <x v="287"/>
    <x v="71"/>
    <n v="10"/>
    <n v="50"/>
    <s v=" "/>
    <n v="50"/>
    <s v="-"/>
    <x v="1"/>
    <s v="10/30/2023"/>
    <m/>
    <m/>
  </r>
  <r>
    <x v="58"/>
    <x v="72"/>
    <x v="72"/>
    <x v="31"/>
    <n v="10"/>
    <n v="50"/>
    <s v=" "/>
    <n v="50"/>
    <s v="-"/>
    <x v="1"/>
    <s v="10/31/2023"/>
    <n v="111000614"/>
    <n v="1559897432"/>
  </r>
  <r>
    <x v="58"/>
    <x v="396"/>
    <x v="365"/>
    <x v="29"/>
    <n v="20"/>
    <n v="45"/>
    <s v=" "/>
    <n v="45"/>
    <s v="-"/>
    <x v="1"/>
    <s v="10/29/2023"/>
    <s v="071921891"/>
    <n v="4952187173"/>
  </r>
  <r>
    <x v="58"/>
    <x v="73"/>
    <x v="73"/>
    <x v="32"/>
    <n v="11"/>
    <n v="49"/>
    <s v=" "/>
    <n v="49"/>
    <s v="-"/>
    <x v="1"/>
    <s v="10/29/2023"/>
    <n v="256074974"/>
    <n v="7091445424"/>
  </r>
  <r>
    <x v="58"/>
    <x v="74"/>
    <x v="74"/>
    <x v="32"/>
    <n v="65"/>
    <n v="0"/>
    <s v=" "/>
    <n v="0"/>
    <s v="-"/>
    <x v="1"/>
    <s v="10/29/2023"/>
    <n v="256074974"/>
    <n v="7091445424"/>
  </r>
  <r>
    <x v="58"/>
    <x v="76"/>
    <x v="76"/>
    <x v="32"/>
    <n v="10"/>
    <n v="50"/>
    <s v=" "/>
    <n v="50"/>
    <s v="-"/>
    <x v="1"/>
    <s v="10/29/2023"/>
    <n v="256074974"/>
    <n v="7091445424"/>
  </r>
  <r>
    <x v="58"/>
    <x v="330"/>
    <x v="310"/>
    <x v="29"/>
    <n v="10"/>
    <n v="50"/>
    <s v=" "/>
    <n v="50"/>
    <s v="-"/>
    <x v="1"/>
    <s v="10/29/2023"/>
    <s v="071921891"/>
    <n v="4952187173"/>
  </r>
  <r>
    <x v="59"/>
    <x v="78"/>
    <x v="78"/>
    <x v="33"/>
    <n v="15"/>
    <n v="45"/>
    <s v=" "/>
    <n v="45"/>
    <s v="-"/>
    <x v="1"/>
    <s v="10/30/2023"/>
    <n v="111900659"/>
    <n v="3805508938"/>
  </r>
  <r>
    <x v="59"/>
    <x v="397"/>
    <x v="366"/>
    <x v="33"/>
    <n v="10"/>
    <n v="55"/>
    <s v=" "/>
    <n v="55"/>
    <s v="-"/>
    <x v="1"/>
    <s v="10/30/2023"/>
    <n v="111900659"/>
    <n v="3805508938"/>
  </r>
  <r>
    <x v="59"/>
    <x v="2"/>
    <x v="2"/>
    <x v="1"/>
    <n v="45"/>
    <n v="20"/>
    <s v=" "/>
    <n v="20"/>
    <s v="-"/>
    <x v="1"/>
    <s v="10/31/2023"/>
    <n v="111900659"/>
    <s v="0194510160"/>
  </r>
  <r>
    <x v="59"/>
    <x v="299"/>
    <x v="281"/>
    <x v="56"/>
    <n v="11"/>
    <n v="49"/>
    <s v=" "/>
    <n v="49"/>
    <s v="-"/>
    <x v="1"/>
    <s v="10/30/2023"/>
    <n v="114926012"/>
    <n v="1104269"/>
  </r>
  <r>
    <x v="59"/>
    <x v="323"/>
    <x v="217"/>
    <x v="65"/>
    <n v="30"/>
    <n v="35"/>
    <s v=" "/>
    <n v="35"/>
    <s v="-"/>
    <x v="1"/>
    <s v="10/30/2023"/>
    <n v="314977175"/>
    <n v="288940"/>
  </r>
  <r>
    <x v="59"/>
    <x v="3"/>
    <x v="3"/>
    <x v="1"/>
    <n v="60"/>
    <n v="0"/>
    <s v=" "/>
    <n v="0"/>
    <s v="-"/>
    <x v="1"/>
    <s v="10/31/2023"/>
    <n v="111900659"/>
    <s v="0194510160"/>
  </r>
  <r>
    <x v="59"/>
    <x v="140"/>
    <x v="135"/>
    <x v="65"/>
    <n v="10"/>
    <n v="50"/>
    <s v=" "/>
    <n v="50"/>
    <s v="-"/>
    <x v="1"/>
    <s v="10/30/2023"/>
    <n v="314977175"/>
    <n v="288940"/>
  </r>
  <r>
    <x v="59"/>
    <x v="85"/>
    <x v="85"/>
    <x v="38"/>
    <n v="10"/>
    <n v="55"/>
    <s v=" "/>
    <n v="55"/>
    <s v="-"/>
    <x v="1"/>
    <s v="10/30/2023"/>
    <n v="111900659"/>
    <n v="6443870164"/>
  </r>
  <r>
    <x v="59"/>
    <x v="307"/>
    <x v="289"/>
    <x v="52"/>
    <n v="30"/>
    <n v="30"/>
    <s v=" "/>
    <n v="30"/>
    <s v="-"/>
    <x v="1"/>
    <s v="10/31/2023"/>
    <n v="314089681"/>
    <n v="199140275"/>
  </r>
  <r>
    <x v="59"/>
    <x v="215"/>
    <x v="205"/>
    <x v="45"/>
    <n v="11"/>
    <n v="49"/>
    <s v=" "/>
    <n v="49"/>
    <s v="-"/>
    <x v="1"/>
    <s v="10/30/2023"/>
    <n v="314977405"/>
    <n v="1800900913423"/>
  </r>
  <r>
    <x v="59"/>
    <x v="32"/>
    <x v="32"/>
    <x v="12"/>
    <n v="45"/>
    <n v="20"/>
    <s v=" "/>
    <n v="20"/>
    <s v="-"/>
    <x v="1"/>
    <s v="10/30/2023"/>
    <n v="111900659"/>
    <n v="8721262510"/>
  </r>
  <r>
    <x v="59"/>
    <x v="88"/>
    <x v="88"/>
    <x v="41"/>
    <n v="10"/>
    <n v="50"/>
    <s v=" "/>
    <n v="50"/>
    <s v="-"/>
    <x v="1"/>
    <s v="10/30/2023"/>
    <n v="113000023"/>
    <n v="586034246778"/>
  </r>
  <r>
    <x v="59"/>
    <x v="342"/>
    <x v="321"/>
    <x v="31"/>
    <n v="50"/>
    <n v="15"/>
    <s v=" "/>
    <n v="15"/>
    <s v="-"/>
    <x v="1"/>
    <s v="10/31/2023"/>
    <n v="111000614"/>
    <n v="1559897432"/>
  </r>
  <r>
    <x v="59"/>
    <x v="192"/>
    <x v="185"/>
    <x v="31"/>
    <n v="20"/>
    <n v="40"/>
    <s v=" "/>
    <n v="40"/>
    <s v="-"/>
    <x v="1"/>
    <s v="10/31/2023"/>
    <n v="111000614"/>
    <n v="1559897432"/>
  </r>
  <r>
    <x v="59"/>
    <x v="89"/>
    <x v="89"/>
    <x v="33"/>
    <n v="22"/>
    <n v="43"/>
    <s v=" "/>
    <n v="43"/>
    <s v="-"/>
    <x v="1"/>
    <s v="10/30/2023"/>
    <n v="111900659"/>
    <n v="3805508938"/>
  </r>
  <r>
    <x v="59"/>
    <x v="91"/>
    <x v="91"/>
    <x v="43"/>
    <n v="0"/>
    <n v="65"/>
    <s v=" "/>
    <n v="65"/>
    <s v="-"/>
    <x v="1"/>
    <s v="10/30/2023"/>
    <n v="114993906"/>
    <s v="009165659357"/>
  </r>
  <r>
    <x v="59"/>
    <x v="264"/>
    <x v="249"/>
    <x v="100"/>
    <n v="0"/>
    <n v="65"/>
    <s v=" "/>
    <n v="65"/>
    <s v="-"/>
    <x v="1"/>
    <s v="10/31/2023"/>
    <n v="111000614"/>
    <n v="309835814"/>
  </r>
  <r>
    <x v="59"/>
    <x v="92"/>
    <x v="92"/>
    <x v="44"/>
    <n v="15"/>
    <n v="50"/>
    <s v=" "/>
    <n v="50"/>
    <s v="-"/>
    <x v="1"/>
    <s v="10/30/2023"/>
    <n v="111000025"/>
    <n v="488106198399"/>
  </r>
  <r>
    <x v="59"/>
    <x v="196"/>
    <x v="189"/>
    <x v="83"/>
    <n v="30"/>
    <n v="30"/>
    <s v=" "/>
    <n v="30"/>
    <s v="-"/>
    <x v="1"/>
    <s v="10/30/2023"/>
    <n v="314977405"/>
    <n v="1800900499734"/>
  </r>
  <r>
    <x v="59"/>
    <x v="122"/>
    <x v="119"/>
    <x v="43"/>
    <n v="12"/>
    <n v="53"/>
    <s v=" "/>
    <n v="53"/>
    <s v="-"/>
    <x v="1"/>
    <s v="10/30/2023"/>
    <n v="114993906"/>
    <s v="009165659357"/>
  </r>
  <r>
    <x v="59"/>
    <x v="95"/>
    <x v="79"/>
    <x v="31"/>
    <n v="36"/>
    <n v="24"/>
    <s v=" "/>
    <n v="24"/>
    <s v="-"/>
    <x v="1"/>
    <s v="10/31/2023"/>
    <n v="111000614"/>
    <n v="1559897432"/>
  </r>
  <r>
    <x v="59"/>
    <x v="338"/>
    <x v="317"/>
    <x v="106"/>
    <n v="21"/>
    <n v="39"/>
    <s v=" "/>
    <n v="39"/>
    <s v="-"/>
    <x v="1"/>
    <s v="10/30/2023"/>
    <n v="111000614"/>
    <n v="964468169"/>
  </r>
  <r>
    <x v="59"/>
    <x v="126"/>
    <x v="122"/>
    <x v="60"/>
    <n v="10"/>
    <n v="55"/>
    <s v=" "/>
    <n v="55"/>
    <s v="-"/>
    <x v="1"/>
    <s v="10/30/2023"/>
    <s v="044000804"/>
    <n v="9621099177842"/>
  </r>
  <r>
    <x v="59"/>
    <x v="207"/>
    <x v="44"/>
    <x v="88"/>
    <n v="0"/>
    <n v="60"/>
    <s v=" "/>
    <n v="60"/>
    <s v="-"/>
    <x v="1"/>
    <s v="10/31/2023"/>
    <n v="314977405"/>
    <n v="1800900064450"/>
  </r>
  <r>
    <x v="59"/>
    <x v="132"/>
    <x v="128"/>
    <x v="54"/>
    <n v="10"/>
    <n v="55"/>
    <s v=" "/>
    <n v="55"/>
    <s v="-"/>
    <x v="1"/>
    <s v="10/31/2023"/>
    <n v="114000093"/>
    <n v="584219511"/>
  </r>
  <r>
    <x v="59"/>
    <x v="99"/>
    <x v="97"/>
    <x v="49"/>
    <n v="10"/>
    <n v="50"/>
    <s v=" "/>
    <n v="50"/>
    <s v="-"/>
    <x v="1"/>
    <s v="10/30/2023"/>
    <n v="111000025"/>
    <n v="488113380857"/>
  </r>
  <r>
    <x v="60"/>
    <x v="103"/>
    <x v="101"/>
    <x v="34"/>
    <n v="20"/>
    <n v="45"/>
    <s v=" "/>
    <n v="45"/>
    <s v="-"/>
    <x v="1"/>
    <s v="10/31/2023"/>
    <n v="314089681"/>
    <n v="225927393"/>
  </r>
  <r>
    <x v="60"/>
    <x v="80"/>
    <x v="80"/>
    <x v="34"/>
    <n v="10"/>
    <n v="50"/>
    <s v=" "/>
    <n v="50"/>
    <s v="-"/>
    <x v="0"/>
    <s v="10/31/2023"/>
    <n v="314089681"/>
    <n v="225927393"/>
  </r>
  <r>
    <x v="60"/>
    <x v="107"/>
    <x v="105"/>
    <x v="52"/>
    <n v="21"/>
    <n v="44"/>
    <s v=" "/>
    <n v="44"/>
    <s v="-"/>
    <x v="1"/>
    <s v="10/31/2023"/>
    <n v="314089681"/>
    <n v="199140275"/>
  </r>
  <r>
    <x v="60"/>
    <x v="108"/>
    <x v="106"/>
    <x v="53"/>
    <n v="20"/>
    <n v="40"/>
    <s v=" "/>
    <n v="40"/>
    <s v="-"/>
    <x v="1"/>
    <s v="10/31/2023"/>
    <n v="111000614"/>
    <n v="112335069"/>
  </r>
  <r>
    <x v="60"/>
    <x v="109"/>
    <x v="107"/>
    <x v="30"/>
    <n v="21"/>
    <n v="19"/>
    <s v=" "/>
    <n v="19"/>
    <s v="-"/>
    <x v="1"/>
    <s v="10/31/2023"/>
    <n v="111900659"/>
    <n v="1007239476"/>
  </r>
  <r>
    <x v="60"/>
    <x v="112"/>
    <x v="110"/>
    <x v="52"/>
    <n v="10"/>
    <n v="50"/>
    <s v=" "/>
    <n v="50"/>
    <s v="-"/>
    <x v="1"/>
    <s v="10/31/2023"/>
    <n v="314089681"/>
    <n v="199140275"/>
  </r>
  <r>
    <x v="60"/>
    <x v="82"/>
    <x v="82"/>
    <x v="35"/>
    <n v="35"/>
    <n v="30"/>
    <s v=" "/>
    <n v="30"/>
    <s v="-"/>
    <x v="1"/>
    <s v="10/31/2023"/>
    <n v="314977340"/>
    <s v="0002365982"/>
  </r>
  <r>
    <x v="60"/>
    <x v="113"/>
    <x v="111"/>
    <x v="54"/>
    <n v="15"/>
    <n v="50"/>
    <s v=" "/>
    <n v="50"/>
    <s v="-"/>
    <x v="1"/>
    <s v="10/31/2023"/>
    <n v="114000093"/>
    <n v="584219511"/>
  </r>
  <r>
    <x v="60"/>
    <x v="114"/>
    <x v="16"/>
    <x v="36"/>
    <n v="30"/>
    <n v="35"/>
    <s v=" "/>
    <n v="35"/>
    <s v="-"/>
    <x v="1"/>
    <s v="10/31/2023"/>
    <n v="113010547"/>
    <s v="01089622"/>
  </r>
  <r>
    <x v="60"/>
    <x v="339"/>
    <x v="318"/>
    <x v="68"/>
    <n v="30"/>
    <n v="35"/>
    <s v=" "/>
    <n v="35"/>
    <s v="-"/>
    <x v="1"/>
    <s v="10/31/2023"/>
    <n v="314977298"/>
    <n v="1810039239"/>
  </r>
  <r>
    <x v="60"/>
    <x v="115"/>
    <x v="112"/>
    <x v="55"/>
    <n v="17"/>
    <n v="43"/>
    <s v=" "/>
    <n v="43"/>
    <s v="-"/>
    <x v="1"/>
    <s v="10/31/2023"/>
    <n v="314977405"/>
    <n v="1800901265147"/>
  </r>
  <r>
    <x v="60"/>
    <x v="117"/>
    <x v="114"/>
    <x v="57"/>
    <n v="16"/>
    <n v="44"/>
    <s v=" "/>
    <n v="44"/>
    <s v="-"/>
    <x v="1"/>
    <s v="10/31/2023"/>
    <n v="111000614"/>
    <n v="356579018"/>
  </r>
  <r>
    <x v="60"/>
    <x v="118"/>
    <x v="115"/>
    <x v="36"/>
    <n v="15"/>
    <n v="45"/>
    <s v=" "/>
    <n v="45"/>
    <s v="-"/>
    <x v="1"/>
    <s v="10/31/2023"/>
    <n v="113010547"/>
    <s v="01089622"/>
  </r>
  <r>
    <x v="60"/>
    <x v="337"/>
    <x v="234"/>
    <x v="108"/>
    <n v="15"/>
    <n v="45"/>
    <s v=" "/>
    <n v="45"/>
    <s v="-"/>
    <x v="1"/>
    <s v="10/31/2023"/>
    <n v="114926012"/>
    <n v="1102400"/>
  </r>
  <r>
    <x v="60"/>
    <x v="341"/>
    <x v="320"/>
    <x v="81"/>
    <n v="25"/>
    <n v="40"/>
    <s v=" "/>
    <n v="40"/>
    <s v="-"/>
    <x v="1"/>
    <s v="10/31/2023"/>
    <n v="111901056"/>
    <n v="1122756693"/>
  </r>
  <r>
    <x v="60"/>
    <x v="119"/>
    <x v="116"/>
    <x v="58"/>
    <n v="20"/>
    <n v="45"/>
    <s v=" "/>
    <n v="45"/>
    <s v="-"/>
    <x v="1"/>
    <s v="10/31/2023"/>
    <n v="314977405"/>
    <n v="900931267"/>
  </r>
  <r>
    <x v="60"/>
    <x v="356"/>
    <x v="331"/>
    <x v="108"/>
    <n v="25"/>
    <n v="35"/>
    <s v=" "/>
    <n v="35"/>
    <s v="-"/>
    <x v="1"/>
    <s v="10/31/2023"/>
    <n v="114926012"/>
    <n v="1102400"/>
  </r>
  <r>
    <x v="60"/>
    <x v="265"/>
    <x v="250"/>
    <x v="51"/>
    <n v="35"/>
    <n v="30"/>
    <s v=" "/>
    <n v="30"/>
    <s v="-"/>
    <x v="1"/>
    <s v="10/31/2023"/>
    <n v="314977104"/>
    <n v="569956"/>
  </r>
  <r>
    <x v="60"/>
    <x v="198"/>
    <x v="191"/>
    <x v="31"/>
    <n v="30"/>
    <n v="30"/>
    <s v=" "/>
    <n v="30"/>
    <s v="-"/>
    <x v="1"/>
    <s v="10/31/2023"/>
    <n v="111000614"/>
    <n v="1559897432"/>
  </r>
  <r>
    <x v="60"/>
    <x v="200"/>
    <x v="193"/>
    <x v="70"/>
    <n v="20"/>
    <n v="40"/>
    <s v=" "/>
    <n v="40"/>
    <s v="-"/>
    <x v="1"/>
    <s v="10/31/2023"/>
    <n v="111000614"/>
    <n v="637882736"/>
  </r>
  <r>
    <x v="60"/>
    <x v="123"/>
    <x v="120"/>
    <x v="60"/>
    <n v="11"/>
    <n v="54"/>
    <s v=" "/>
    <n v="54"/>
    <s v="-"/>
    <x v="1"/>
    <s v="10/31/2023"/>
    <s v="044000804"/>
    <n v="9621099177842"/>
  </r>
  <r>
    <x v="60"/>
    <x v="124"/>
    <x v="121"/>
    <x v="61"/>
    <n v="0"/>
    <n v="65"/>
    <s v=" "/>
    <n v="65"/>
    <s v="-"/>
    <x v="1"/>
    <s v="10/31/2023"/>
    <n v="111900659"/>
    <n v="8568595873"/>
  </r>
  <r>
    <x v="60"/>
    <x v="127"/>
    <x v="123"/>
    <x v="55"/>
    <n v="20"/>
    <n v="45"/>
    <s v=" "/>
    <n v="45"/>
    <s v="-"/>
    <x v="1"/>
    <s v="10/31/2023"/>
    <n v="314977405"/>
    <n v="1800901265147"/>
  </r>
  <r>
    <x v="60"/>
    <x v="366"/>
    <x v="340"/>
    <x v="92"/>
    <n v="5"/>
    <n v="60"/>
    <s v=" "/>
    <n v="60"/>
    <s v="-"/>
    <x v="1"/>
    <s v="10/31/2023"/>
    <n v="314977175"/>
    <n v="1800237276"/>
  </r>
  <r>
    <x v="60"/>
    <x v="206"/>
    <x v="79"/>
    <x v="87"/>
    <n v="20"/>
    <n v="40"/>
    <s v=" "/>
    <n v="40"/>
    <s v="-"/>
    <x v="1"/>
    <s v="10/31/2023"/>
    <n v="111000025"/>
    <n v="488108216185"/>
  </r>
  <r>
    <x v="60"/>
    <x v="130"/>
    <x v="126"/>
    <x v="21"/>
    <n v="15"/>
    <n v="50"/>
    <s v=" "/>
    <n v="50"/>
    <s v="-"/>
    <x v="1"/>
    <s v="10/31/2023"/>
    <n v="114000093"/>
    <n v="59251900"/>
  </r>
  <r>
    <x v="60"/>
    <x v="131"/>
    <x v="127"/>
    <x v="57"/>
    <n v="50"/>
    <n v="10"/>
    <s v=" "/>
    <n v="10"/>
    <s v="-"/>
    <x v="1"/>
    <s v="10/31/2023"/>
    <n v="111000614"/>
    <n v="356579018"/>
  </r>
  <r>
    <x v="60"/>
    <x v="398"/>
    <x v="367"/>
    <x v="27"/>
    <n v="30"/>
    <n v="35"/>
    <n v="10"/>
    <n v="45"/>
    <s v="-"/>
    <x v="1"/>
    <s v="10/31/2023"/>
    <n v="111900659"/>
    <n v="5025887380"/>
  </r>
  <r>
    <x v="60"/>
    <x v="100"/>
    <x v="98"/>
    <x v="47"/>
    <n v="0"/>
    <n v="65"/>
    <s v=" "/>
    <n v="65"/>
    <s v="-"/>
    <x v="1"/>
    <s v="10/31/2023"/>
    <n v="314088572"/>
    <n v="15888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9ED7F3-5415-4B75-A8C5-609816E95602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A1:H5" firstHeaderRow="0" firstDataRow="1" firstDataCol="4"/>
  <pivotFields count="13">
    <pivotField compact="0" outline="0" subtotalTop="0" showAll="0" defaultSubtotal="0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</items>
    </pivotField>
    <pivotField axis="axisRow" compact="0" numFmtId="49" outline="0" subtotalTop="0" showAll="0" defaultSubtotal="0">
      <items count="399">
        <item x="208"/>
        <item x="173"/>
        <item x="133"/>
        <item x="7"/>
        <item x="4"/>
        <item x="134"/>
        <item x="35"/>
        <item x="297"/>
        <item x="135"/>
        <item x="386"/>
        <item x="238"/>
        <item x="174"/>
        <item x="63"/>
        <item x="101"/>
        <item x="136"/>
        <item x="175"/>
        <item x="221"/>
        <item x="137"/>
        <item x="321"/>
        <item x="176"/>
        <item x="138"/>
        <item x="36"/>
        <item x="222"/>
        <item x="209"/>
        <item x="371"/>
        <item x="78"/>
        <item x="298"/>
        <item x="29"/>
        <item x="0"/>
        <item x="54"/>
        <item x="322"/>
        <item x="239"/>
        <item x="397"/>
        <item x="274"/>
        <item x="275"/>
        <item x="360"/>
        <item x="102"/>
        <item x="344"/>
        <item x="276"/>
        <item x="177"/>
        <item x="352"/>
        <item x="394"/>
        <item x="79"/>
        <item x="223"/>
        <item x="240"/>
        <item x="103"/>
        <item x="361"/>
        <item x="210"/>
        <item x="178"/>
        <item x="2"/>
        <item x="52"/>
        <item x="104"/>
        <item x="179"/>
        <item x="30"/>
        <item x="241"/>
        <item x="277"/>
        <item x="105"/>
        <item x="180"/>
        <item x="106"/>
        <item x="5"/>
        <item x="391"/>
        <item x="331"/>
        <item x="37"/>
        <item x="278"/>
        <item x="299"/>
        <item x="80"/>
        <item x="38"/>
        <item x="81"/>
        <item x="19"/>
        <item x="139"/>
        <item x="377"/>
        <item x="13"/>
        <item x="353"/>
        <item x="323"/>
        <item x="211"/>
        <item x="39"/>
        <item x="3"/>
        <item x="181"/>
        <item x="43"/>
        <item x="57"/>
        <item x="182"/>
        <item x="242"/>
        <item x="279"/>
        <item x="140"/>
        <item x="31"/>
        <item x="332"/>
        <item x="141"/>
        <item x="8"/>
        <item x="224"/>
        <item x="280"/>
        <item x="107"/>
        <item x="392"/>
        <item x="20"/>
        <item x="55"/>
        <item x="225"/>
        <item x="64"/>
        <item x="368"/>
        <item x="142"/>
        <item x="108"/>
        <item x="378"/>
        <item x="226"/>
        <item x="143"/>
        <item x="47"/>
        <item x="243"/>
        <item x="324"/>
        <item x="244"/>
        <item x="144"/>
        <item x="109"/>
        <item x="65"/>
        <item x="300"/>
        <item x="1"/>
        <item x="145"/>
        <item x="333"/>
        <item x="301"/>
        <item x="281"/>
        <item x="220"/>
        <item x="183"/>
        <item x="110"/>
        <item x="146"/>
        <item x="245"/>
        <item x="111"/>
        <item x="369"/>
        <item x="227"/>
        <item x="372"/>
        <item x="112"/>
        <item x="82"/>
        <item x="246"/>
        <item x="147"/>
        <item x="26"/>
        <item x="148"/>
        <item x="247"/>
        <item x="113"/>
        <item x="149"/>
        <item x="302"/>
        <item x="303"/>
        <item x="83"/>
        <item x="23"/>
        <item x="150"/>
        <item x="84"/>
        <item x="151"/>
        <item x="9"/>
        <item x="304"/>
        <item x="345"/>
        <item x="248"/>
        <item x="114"/>
        <item x="70"/>
        <item x="71"/>
        <item x="305"/>
        <item x="184"/>
        <item x="152"/>
        <item x="44"/>
        <item x="153"/>
        <item x="85"/>
        <item x="10"/>
        <item x="212"/>
        <item x="306"/>
        <item x="367"/>
        <item x="346"/>
        <item x="213"/>
        <item x="27"/>
        <item x="373"/>
        <item x="362"/>
        <item x="249"/>
        <item x="48"/>
        <item x="185"/>
        <item x="250"/>
        <item x="186"/>
        <item x="11"/>
        <item x="251"/>
        <item x="252"/>
        <item x="228"/>
        <item x="253"/>
        <item x="339"/>
        <item x="282"/>
        <item x="229"/>
        <item x="379"/>
        <item x="58"/>
        <item x="363"/>
        <item x="387"/>
        <item x="49"/>
        <item x="154"/>
        <item x="340"/>
        <item x="254"/>
        <item x="155"/>
        <item x="115"/>
        <item x="307"/>
        <item x="214"/>
        <item x="187"/>
        <item x="188"/>
        <item x="354"/>
        <item x="86"/>
        <item x="215"/>
        <item x="334"/>
        <item x="283"/>
        <item x="255"/>
        <item x="59"/>
        <item x="388"/>
        <item x="308"/>
        <item x="156"/>
        <item x="355"/>
        <item x="116"/>
        <item x="347"/>
        <item x="256"/>
        <item x="335"/>
        <item x="393"/>
        <item x="216"/>
        <item x="284"/>
        <item x="60"/>
        <item x="21"/>
        <item x="32"/>
        <item x="189"/>
        <item x="190"/>
        <item x="336"/>
        <item x="380"/>
        <item x="395"/>
        <item x="309"/>
        <item x="61"/>
        <item x="191"/>
        <item x="217"/>
        <item x="389"/>
        <item x="87"/>
        <item x="117"/>
        <item x="374"/>
        <item x="325"/>
        <item x="72"/>
        <item x="285"/>
        <item x="381"/>
        <item x="53"/>
        <item x="257"/>
        <item x="328"/>
        <item x="286"/>
        <item x="348"/>
        <item x="396"/>
        <item x="118"/>
        <item x="230"/>
        <item x="6"/>
        <item x="337"/>
        <item x="258"/>
        <item x="341"/>
        <item x="259"/>
        <item x="88"/>
        <item x="260"/>
        <item x="50"/>
        <item x="287"/>
        <item x="45"/>
        <item x="40"/>
        <item x="310"/>
        <item x="14"/>
        <item x="342"/>
        <item x="382"/>
        <item x="192"/>
        <item x="89"/>
        <item x="157"/>
        <item x="69"/>
        <item x="343"/>
        <item x="15"/>
        <item x="193"/>
        <item x="119"/>
        <item x="261"/>
        <item x="288"/>
        <item x="289"/>
        <item x="262"/>
        <item x="16"/>
        <item x="90"/>
        <item x="91"/>
        <item x="311"/>
        <item x="194"/>
        <item x="263"/>
        <item x="312"/>
        <item x="12"/>
        <item x="264"/>
        <item x="370"/>
        <item x="195"/>
        <item x="290"/>
        <item x="356"/>
        <item x="120"/>
        <item x="265"/>
        <item x="326"/>
        <item x="313"/>
        <item x="92"/>
        <item x="314"/>
        <item x="349"/>
        <item x="375"/>
        <item x="93"/>
        <item x="266"/>
        <item x="41"/>
        <item x="24"/>
        <item x="196"/>
        <item x="158"/>
        <item x="315"/>
        <item x="197"/>
        <item x="73"/>
        <item x="121"/>
        <item x="74"/>
        <item x="383"/>
        <item x="122"/>
        <item x="198"/>
        <item x="219"/>
        <item x="291"/>
        <item x="292"/>
        <item x="231"/>
        <item x="199"/>
        <item x="384"/>
        <item x="385"/>
        <item x="33"/>
        <item x="159"/>
        <item x="350"/>
        <item x="200"/>
        <item x="56"/>
        <item x="123"/>
        <item x="267"/>
        <item x="124"/>
        <item x="75"/>
        <item x="268"/>
        <item x="316"/>
        <item x="201"/>
        <item x="317"/>
        <item x="28"/>
        <item x="94"/>
        <item x="232"/>
        <item x="160"/>
        <item x="293"/>
        <item x="233"/>
        <item x="202"/>
        <item x="125"/>
        <item x="351"/>
        <item x="161"/>
        <item x="162"/>
        <item x="95"/>
        <item x="42"/>
        <item x="318"/>
        <item x="163"/>
        <item x="234"/>
        <item x="96"/>
        <item x="17"/>
        <item x="329"/>
        <item x="357"/>
        <item x="338"/>
        <item x="66"/>
        <item x="76"/>
        <item x="22"/>
        <item x="164"/>
        <item x="62"/>
        <item x="126"/>
        <item x="203"/>
        <item x="319"/>
        <item x="364"/>
        <item x="18"/>
        <item x="294"/>
        <item x="376"/>
        <item x="330"/>
        <item x="165"/>
        <item x="269"/>
        <item x="365"/>
        <item x="166"/>
        <item x="167"/>
        <item x="168"/>
        <item x="169"/>
        <item x="204"/>
        <item x="34"/>
        <item x="127"/>
        <item x="46"/>
        <item x="327"/>
        <item x="358"/>
        <item x="205"/>
        <item x="235"/>
        <item x="366"/>
        <item x="67"/>
        <item x="270"/>
        <item x="206"/>
        <item x="236"/>
        <item x="128"/>
        <item x="237"/>
        <item x="68"/>
        <item x="25"/>
        <item x="97"/>
        <item x="129"/>
        <item x="207"/>
        <item x="271"/>
        <item x="130"/>
        <item x="131"/>
        <item x="272"/>
        <item x="132"/>
        <item x="51"/>
        <item x="359"/>
        <item x="170"/>
        <item x="171"/>
        <item x="98"/>
        <item x="172"/>
        <item x="273"/>
        <item x="99"/>
        <item x="390"/>
        <item x="295"/>
        <item x="398"/>
        <item x="100"/>
        <item x="296"/>
        <item x="320"/>
        <item x="77"/>
        <item x="218"/>
      </items>
    </pivotField>
    <pivotField axis="axisRow" compact="0" outline="0" subtotalTop="0" showAll="0" defaultSubtotal="0">
      <items count="368">
        <item x="210"/>
        <item x="120"/>
        <item x="138"/>
        <item x="162"/>
        <item x="23"/>
        <item x="65"/>
        <item x="61"/>
        <item x="228"/>
        <item x="106"/>
        <item x="6"/>
        <item x="270"/>
        <item x="98"/>
        <item x="242"/>
        <item x="123"/>
        <item x="229"/>
        <item x="346"/>
        <item x="101"/>
        <item x="99"/>
        <item x="235"/>
        <item x="48"/>
        <item x="336"/>
        <item x="247"/>
        <item x="104"/>
        <item x="129"/>
        <item x="114"/>
        <item x="91"/>
        <item x="13"/>
        <item x="300"/>
        <item x="355"/>
        <item x="253"/>
        <item x="24"/>
        <item x="361"/>
        <item x="79"/>
        <item x="351"/>
        <item x="153"/>
        <item x="297"/>
        <item x="364"/>
        <item x="194"/>
        <item x="238"/>
        <item x="260"/>
        <item x="151"/>
        <item x="141"/>
        <item x="112"/>
        <item x="313"/>
        <item x="190"/>
        <item x="244"/>
        <item x="189"/>
        <item x="317"/>
        <item x="55"/>
        <item x="367"/>
        <item x="339"/>
        <item x="111"/>
        <item x="225"/>
        <item x="26"/>
        <item x="22"/>
        <item x="62"/>
        <item x="333"/>
        <item x="222"/>
        <item x="109"/>
        <item x="227"/>
        <item x="338"/>
        <item x="211"/>
        <item x="165"/>
        <item x="305"/>
        <item x="45"/>
        <item x="332"/>
        <item x="186"/>
        <item x="34"/>
        <item x="191"/>
        <item x="110"/>
        <item x="145"/>
        <item x="255"/>
        <item x="356"/>
        <item x="298"/>
        <item x="159"/>
        <item x="144"/>
        <item x="345"/>
        <item x="199"/>
        <item x="308"/>
        <item x="327"/>
        <item x="233"/>
        <item x="163"/>
        <item x="4"/>
        <item x="3"/>
        <item x="146"/>
        <item x="115"/>
        <item x="263"/>
        <item x="148"/>
        <item x="274"/>
        <item x="86"/>
        <item x="243"/>
        <item x="116"/>
        <item x="220"/>
        <item x="139"/>
        <item x="177"/>
        <item x="237"/>
        <item x="70"/>
        <item x="294"/>
        <item x="198"/>
        <item x="89"/>
        <item x="158"/>
        <item x="73"/>
        <item x="32"/>
        <item x="219"/>
        <item x="67"/>
        <item x="142"/>
        <item x="277"/>
        <item x="180"/>
        <item x="161"/>
        <item x="291"/>
        <item x="33"/>
        <item x="17"/>
        <item x="262"/>
        <item x="64"/>
        <item x="140"/>
        <item x="92"/>
        <item x="275"/>
        <item x="164"/>
        <item x="257"/>
        <item x="292"/>
        <item x="175"/>
        <item x="154"/>
        <item x="272"/>
        <item x="276"/>
        <item x="334"/>
        <item x="25"/>
        <item x="105"/>
        <item x="108"/>
        <item x="192"/>
        <item x="204"/>
        <item x="58"/>
        <item x="366"/>
        <item x="319"/>
        <item x="60"/>
        <item x="273"/>
        <item x="107"/>
        <item x="9"/>
        <item x="71"/>
        <item x="312"/>
        <item x="281"/>
        <item x="178"/>
        <item x="90"/>
        <item x="30"/>
        <item x="335"/>
        <item x="223"/>
        <item x="185"/>
        <item x="342"/>
        <item x="7"/>
        <item x="193"/>
        <item x="136"/>
        <item x="29"/>
        <item x="102"/>
        <item x="124"/>
        <item x="258"/>
        <item x="149"/>
        <item x="241"/>
        <item x="349"/>
        <item x="251"/>
        <item x="302"/>
        <item x="137"/>
        <item x="306"/>
        <item x="97"/>
        <item x="268"/>
        <item x="284"/>
        <item x="113"/>
        <item x="311"/>
        <item x="119"/>
        <item x="16"/>
        <item x="87"/>
        <item x="301"/>
        <item x="271"/>
        <item x="83"/>
        <item x="100"/>
        <item x="232"/>
        <item x="12"/>
        <item x="47"/>
        <item x="128"/>
        <item x="201"/>
        <item x="117"/>
        <item x="252"/>
        <item x="176"/>
        <item x="209"/>
        <item x="118"/>
        <item x="2"/>
        <item x="321"/>
        <item x="174"/>
        <item x="348"/>
        <item x="288"/>
        <item x="131"/>
        <item x="133"/>
        <item x="76"/>
        <item x="54"/>
        <item x="50"/>
        <item x="59"/>
        <item x="103"/>
        <item x="316"/>
        <item x="357"/>
        <item x="307"/>
        <item x="8"/>
        <item x="287"/>
        <item x="40"/>
        <item x="293"/>
        <item x="75"/>
        <item x="197"/>
        <item x="205"/>
        <item x="188"/>
        <item x="328"/>
        <item x="202"/>
        <item x="236"/>
        <item x="28"/>
        <item x="182"/>
        <item x="88"/>
        <item x="278"/>
        <item x="51"/>
        <item x="286"/>
        <item x="41"/>
        <item x="81"/>
        <item x="126"/>
        <item x="68"/>
        <item x="171"/>
        <item x="173"/>
        <item x="52"/>
        <item x="82"/>
        <item x="213"/>
        <item x="363"/>
        <item x="296"/>
        <item x="10"/>
        <item x="239"/>
        <item x="226"/>
        <item x="122"/>
        <item x="295"/>
        <item x="254"/>
        <item x="37"/>
        <item x="248"/>
        <item x="304"/>
        <item x="280"/>
        <item x="27"/>
        <item x="350"/>
        <item x="167"/>
        <item x="206"/>
        <item x="170"/>
        <item x="20"/>
        <item x="184"/>
        <item x="95"/>
        <item x="72"/>
        <item x="230"/>
        <item x="347"/>
        <item x="231"/>
        <item x="261"/>
        <item x="250"/>
        <item x="121"/>
        <item x="19"/>
        <item x="63"/>
        <item x="309"/>
        <item x="172"/>
        <item x="314"/>
        <item x="78"/>
        <item x="318"/>
        <item x="358"/>
        <item x="84"/>
        <item x="303"/>
        <item x="66"/>
        <item x="147"/>
        <item x="362"/>
        <item x="324"/>
        <item x="330"/>
        <item x="315"/>
        <item x="325"/>
        <item x="187"/>
        <item x="360"/>
        <item x="282"/>
        <item x="266"/>
        <item x="181"/>
        <item x="0"/>
        <item x="38"/>
        <item x="326"/>
        <item x="283"/>
        <item x="343"/>
        <item x="94"/>
        <item x="365"/>
        <item x="1"/>
        <item x="354"/>
        <item x="18"/>
        <item x="203"/>
        <item x="155"/>
        <item x="80"/>
        <item x="77"/>
        <item x="36"/>
        <item x="344"/>
        <item x="285"/>
        <item x="125"/>
        <item x="359"/>
        <item x="352"/>
        <item x="156"/>
        <item x="245"/>
        <item x="169"/>
        <item x="331"/>
        <item x="93"/>
        <item x="259"/>
        <item x="35"/>
        <item x="39"/>
        <item x="74"/>
        <item x="216"/>
        <item x="15"/>
        <item x="143"/>
        <item x="322"/>
        <item x="208"/>
        <item x="212"/>
        <item x="269"/>
        <item x="200"/>
        <item x="310"/>
        <item x="135"/>
        <item x="221"/>
        <item x="256"/>
        <item x="217"/>
        <item x="57"/>
        <item x="43"/>
        <item x="21"/>
        <item x="166"/>
        <item x="234"/>
        <item x="265"/>
        <item x="240"/>
        <item x="196"/>
        <item x="53"/>
        <item x="246"/>
        <item x="340"/>
        <item x="267"/>
        <item x="56"/>
        <item x="195"/>
        <item x="69"/>
        <item x="132"/>
        <item x="279"/>
        <item x="290"/>
        <item x="134"/>
        <item x="49"/>
        <item x="320"/>
        <item x="337"/>
        <item x="215"/>
        <item x="152"/>
        <item x="85"/>
        <item x="96"/>
        <item x="127"/>
        <item x="31"/>
        <item x="218"/>
        <item x="299"/>
        <item x="224"/>
        <item x="42"/>
        <item x="44"/>
        <item x="183"/>
        <item x="249"/>
        <item x="5"/>
        <item x="130"/>
        <item x="289"/>
        <item x="214"/>
        <item x="168"/>
        <item x="353"/>
        <item x="341"/>
        <item x="157"/>
        <item x="150"/>
        <item x="46"/>
        <item x="329"/>
        <item x="207"/>
        <item x="179"/>
        <item x="14"/>
        <item x="160"/>
        <item x="11"/>
        <item x="323"/>
        <item x="264"/>
      </items>
    </pivotField>
    <pivotField axis="axisRow" compact="0" outline="0" subtotalTop="0" showAll="0" sumSubtotal="1">
      <items count="118">
        <item x="20"/>
        <item x="81"/>
        <item x="94"/>
        <item x="41"/>
        <item x="1"/>
        <item x="56"/>
        <item x="74"/>
        <item x="72"/>
        <item x="105"/>
        <item x="38"/>
        <item x="77"/>
        <item x="52"/>
        <item x="86"/>
        <item x="33"/>
        <item x="26"/>
        <item x="85"/>
        <item x="89"/>
        <item x="54"/>
        <item x="8"/>
        <item x="19"/>
        <item x="73"/>
        <item x="49"/>
        <item x="27"/>
        <item x="44"/>
        <item x="17"/>
        <item x="98"/>
        <item x="107"/>
        <item x="75"/>
        <item x="99"/>
        <item x="32"/>
        <item x="53"/>
        <item x="58"/>
        <item x="65"/>
        <item x="3"/>
        <item x="70"/>
        <item x="57"/>
        <item x="34"/>
        <item x="63"/>
        <item x="103"/>
        <item x="30"/>
        <item x="100"/>
        <item x="109"/>
        <item x="84"/>
        <item x="12"/>
        <item x="95"/>
        <item x="116"/>
        <item x="62"/>
        <item x="10"/>
        <item x="11"/>
        <item x="67"/>
        <item x="102"/>
        <item x="90"/>
        <item x="64"/>
        <item x="66"/>
        <item x="47"/>
        <item x="35"/>
        <item x="29"/>
        <item x="76"/>
        <item x="5"/>
        <item x="48"/>
        <item x="16"/>
        <item x="37"/>
        <item x="42"/>
        <item x="7"/>
        <item x="46"/>
        <item x="69"/>
        <item x="82"/>
        <item x="78"/>
        <item x="13"/>
        <item x="55"/>
        <item x="61"/>
        <item x="15"/>
        <item x="68"/>
        <item x="92"/>
        <item x="97"/>
        <item x="23"/>
        <item x="104"/>
        <item x="87"/>
        <item x="112"/>
        <item x="60"/>
        <item x="31"/>
        <item x="106"/>
        <item x="110"/>
        <item x="24"/>
        <item x="111"/>
        <item x="36"/>
        <item x="39"/>
        <item x="0"/>
        <item x="59"/>
        <item x="22"/>
        <item x="83"/>
        <item x="18"/>
        <item x="108"/>
        <item x="80"/>
        <item x="93"/>
        <item x="88"/>
        <item x="6"/>
        <item x="9"/>
        <item x="71"/>
        <item x="50"/>
        <item x="21"/>
        <item x="4"/>
        <item x="14"/>
        <item x="2"/>
        <item x="115"/>
        <item x="113"/>
        <item x="43"/>
        <item x="91"/>
        <item x="101"/>
        <item x="45"/>
        <item x="51"/>
        <item x="114"/>
        <item x="28"/>
        <item x="40"/>
        <item x="79"/>
        <item x="96"/>
        <item x="25"/>
        <item t="sum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2">
        <item x="0"/>
        <item x="1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4">
    <field x="3"/>
    <field x="1"/>
    <field x="2"/>
    <field x="9"/>
  </rowFields>
  <rowItems count="4">
    <i>
      <x v="3"/>
      <x v="9"/>
      <x v="72"/>
      <x v="1"/>
    </i>
    <i r="1">
      <x v="204"/>
      <x v="263"/>
      <x v="1"/>
    </i>
    <i r="1">
      <x v="240"/>
      <x v="211"/>
      <x v="1"/>
    </i>
    <i t="sum">
      <x v="3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Co-Pay" fld="4" baseField="9" baseItem="1"/>
    <dataField name="Sum of SIMS" fld="5" baseField="9" baseItem="1"/>
    <dataField name="Sum of 1st" fld="6" baseField="9" baseItem="1"/>
    <dataField name="Sum of Total" fld="7" baseField="9" baseItem="1"/>
  </dataFields>
  <pivotTableStyleInfo showRowHeaders="1" showColHeaders="1" showRowStripes="0" showColStripes="0" showLastColumn="1"/>
  <filters count="1">
    <filter fld="3" type="captionEqual" evalOrder="-1" id="920" stringValue1="Alison Green">
      <autoFilter ref="A1">
        <filterColumn colId="0">
          <filters>
            <filter val="Alison Green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CD8BC-83AD-45D2-9ED1-D0CE0D4A7AD0}">
  <sheetPr codeName="Sheet28"/>
  <dimension ref="A1:A5"/>
  <sheetViews>
    <sheetView workbookViewId="0">
      <selection activeCell="A11" sqref="A11"/>
    </sheetView>
  </sheetViews>
  <sheetFormatPr defaultRowHeight="14.4" x14ac:dyDescent="0.3"/>
  <cols>
    <col min="1" max="1" width="57.6640625" bestFit="1" customWidth="1"/>
  </cols>
  <sheetData>
    <row r="1" spans="1:1" x14ac:dyDescent="0.3">
      <c r="A1" t="s">
        <v>183</v>
      </c>
    </row>
    <row r="2" spans="1:1" x14ac:dyDescent="0.3">
      <c r="A2" t="s">
        <v>184</v>
      </c>
    </row>
    <row r="3" spans="1:1" x14ac:dyDescent="0.3">
      <c r="A3" t="s">
        <v>185</v>
      </c>
    </row>
    <row r="4" spans="1:1" x14ac:dyDescent="0.3">
      <c r="A4" s="6" t="s">
        <v>187</v>
      </c>
    </row>
    <row r="5" spans="1:1" x14ac:dyDescent="0.3">
      <c r="A5" t="s">
        <v>186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pyandEmail">
                <anchor moveWithCells="1" sizeWithCells="1">
                  <from>
                    <xdr:col>4</xdr:col>
                    <xdr:colOff>0</xdr:colOff>
                    <xdr:row>1</xdr:row>
                    <xdr:rowOff>45720</xdr:rowOff>
                  </from>
                  <to>
                    <xdr:col>6</xdr:col>
                    <xdr:colOff>571500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5"/>
  <sheetViews>
    <sheetView tabSelected="1" workbookViewId="0">
      <selection activeCell="E1" sqref="E1:E1048576"/>
    </sheetView>
  </sheetViews>
  <sheetFormatPr defaultRowHeight="14.4" x14ac:dyDescent="0.3"/>
  <cols>
    <col min="4" max="4" width="34.77734375" customWidth="1"/>
    <col min="5" max="6" width="8.88671875" style="5"/>
    <col min="8" max="8" width="8.88671875" style="5"/>
  </cols>
  <sheetData>
    <row r="1" spans="1:11" x14ac:dyDescent="0.3">
      <c r="A1" s="1" t="s">
        <v>2</v>
      </c>
      <c r="B1" s="1" t="s">
        <v>3</v>
      </c>
      <c r="C1" s="1" t="s">
        <v>4</v>
      </c>
      <c r="D1" s="1" t="s">
        <v>5</v>
      </c>
      <c r="E1" s="4" t="s">
        <v>6</v>
      </c>
      <c r="F1" s="4" t="s">
        <v>7</v>
      </c>
      <c r="G1" s="1" t="s">
        <v>8</v>
      </c>
      <c r="H1" s="4" t="s">
        <v>9</v>
      </c>
      <c r="I1" s="1" t="s">
        <v>0</v>
      </c>
      <c r="J1" s="1" t="s">
        <v>10</v>
      </c>
      <c r="K1" s="1" t="s">
        <v>11</v>
      </c>
    </row>
    <row r="2" spans="1:11" x14ac:dyDescent="0.3">
      <c r="A2" s="3" t="s">
        <v>50</v>
      </c>
      <c r="B2" s="2">
        <v>385434</v>
      </c>
      <c r="C2" s="6" t="s">
        <v>163</v>
      </c>
      <c r="D2" s="20" t="s">
        <v>188</v>
      </c>
      <c r="E2" s="5">
        <v>40</v>
      </c>
      <c r="F2" s="5">
        <v>20</v>
      </c>
      <c r="G2" s="2" t="s">
        <v>13</v>
      </c>
      <c r="H2" s="5">
        <v>20</v>
      </c>
      <c r="I2" s="2" t="s">
        <v>1</v>
      </c>
      <c r="J2" s="2" t="s">
        <v>19</v>
      </c>
      <c r="K2" s="3" t="s">
        <v>35</v>
      </c>
    </row>
    <row r="3" spans="1:11" x14ac:dyDescent="0.3">
      <c r="A3" s="3" t="s">
        <v>50</v>
      </c>
      <c r="B3" s="2">
        <v>769952</v>
      </c>
      <c r="C3" s="6" t="s">
        <v>164</v>
      </c>
      <c r="D3" s="20" t="s">
        <v>188</v>
      </c>
      <c r="E3" s="5">
        <v>30</v>
      </c>
      <c r="F3" s="5">
        <v>30</v>
      </c>
      <c r="G3" s="2" t="s">
        <v>13</v>
      </c>
      <c r="H3" s="5">
        <v>30</v>
      </c>
      <c r="I3" s="2" t="s">
        <v>1</v>
      </c>
      <c r="J3" s="2" t="s">
        <v>19</v>
      </c>
      <c r="K3" s="3" t="s">
        <v>35</v>
      </c>
    </row>
    <row r="4" spans="1:11" x14ac:dyDescent="0.3">
      <c r="A4" s="3" t="s">
        <v>43</v>
      </c>
      <c r="B4" s="2">
        <v>795261</v>
      </c>
      <c r="C4" s="6" t="s">
        <v>167</v>
      </c>
      <c r="D4" s="20" t="s">
        <v>188</v>
      </c>
      <c r="E4" s="5">
        <v>30</v>
      </c>
      <c r="F4" s="5">
        <v>30</v>
      </c>
      <c r="G4" s="2" t="s">
        <v>13</v>
      </c>
      <c r="H4" s="5">
        <v>30</v>
      </c>
      <c r="I4" s="2" t="s">
        <v>1</v>
      </c>
      <c r="J4" s="2" t="s">
        <v>19</v>
      </c>
      <c r="K4" s="3" t="s">
        <v>107</v>
      </c>
    </row>
    <row r="5" spans="1:11" x14ac:dyDescent="0.3">
      <c r="A5" s="3" t="s">
        <v>43</v>
      </c>
      <c r="B5" s="2">
        <v>827236</v>
      </c>
      <c r="C5" s="6" t="s">
        <v>168</v>
      </c>
      <c r="D5" s="20" t="s">
        <v>188</v>
      </c>
      <c r="E5" s="5">
        <v>35</v>
      </c>
      <c r="F5" s="5">
        <v>40</v>
      </c>
      <c r="G5" s="2" t="s">
        <v>13</v>
      </c>
      <c r="H5" s="5">
        <v>40</v>
      </c>
      <c r="I5" s="2" t="s">
        <v>1</v>
      </c>
      <c r="J5" s="2" t="s">
        <v>19</v>
      </c>
      <c r="K5" s="3" t="s">
        <v>107</v>
      </c>
    </row>
    <row r="6" spans="1:11" x14ac:dyDescent="0.3">
      <c r="A6" s="3" t="s">
        <v>54</v>
      </c>
      <c r="B6" s="2">
        <v>385434</v>
      </c>
      <c r="C6" s="6" t="s">
        <v>163</v>
      </c>
      <c r="D6" s="20" t="s">
        <v>188</v>
      </c>
      <c r="E6" s="5">
        <v>40</v>
      </c>
      <c r="F6" s="5">
        <v>20</v>
      </c>
      <c r="G6" s="2" t="s">
        <v>13</v>
      </c>
      <c r="H6" s="5">
        <v>20</v>
      </c>
      <c r="I6" s="2" t="s">
        <v>1</v>
      </c>
      <c r="J6" s="2" t="s">
        <v>19</v>
      </c>
      <c r="K6" s="3" t="s">
        <v>32</v>
      </c>
    </row>
    <row r="7" spans="1:11" x14ac:dyDescent="0.3">
      <c r="A7" s="3" t="s">
        <v>54</v>
      </c>
      <c r="B7" s="2">
        <v>385745</v>
      </c>
      <c r="C7" s="6" t="s">
        <v>170</v>
      </c>
      <c r="D7" s="20" t="s">
        <v>188</v>
      </c>
      <c r="E7" s="5">
        <v>45</v>
      </c>
      <c r="F7" s="5">
        <v>30</v>
      </c>
      <c r="G7" s="2" t="s">
        <v>13</v>
      </c>
      <c r="H7" s="5">
        <v>30</v>
      </c>
      <c r="I7" s="2" t="s">
        <v>1</v>
      </c>
      <c r="J7" s="2" t="s">
        <v>19</v>
      </c>
      <c r="K7" s="3" t="s">
        <v>32</v>
      </c>
    </row>
    <row r="8" spans="1:11" x14ac:dyDescent="0.3">
      <c r="A8" s="3" t="s">
        <v>54</v>
      </c>
      <c r="B8" s="2">
        <v>726822</v>
      </c>
      <c r="C8" s="6" t="s">
        <v>171</v>
      </c>
      <c r="D8" s="20" t="s">
        <v>188</v>
      </c>
      <c r="E8" s="5">
        <v>20</v>
      </c>
      <c r="F8" s="5">
        <v>40</v>
      </c>
      <c r="G8" s="2" t="s">
        <v>13</v>
      </c>
      <c r="H8" s="5">
        <v>40</v>
      </c>
      <c r="I8" s="2" t="s">
        <v>1</v>
      </c>
      <c r="J8" s="2" t="s">
        <v>19</v>
      </c>
      <c r="K8" s="3" t="s">
        <v>32</v>
      </c>
    </row>
    <row r="9" spans="1:11" x14ac:dyDescent="0.3">
      <c r="A9" s="3" t="s">
        <v>54</v>
      </c>
      <c r="B9" s="2">
        <v>769952</v>
      </c>
      <c r="C9" s="6" t="s">
        <v>164</v>
      </c>
      <c r="D9" s="20" t="s">
        <v>188</v>
      </c>
      <c r="E9" s="5">
        <v>30</v>
      </c>
      <c r="F9" s="5">
        <v>30</v>
      </c>
      <c r="G9" s="2" t="s">
        <v>13</v>
      </c>
      <c r="H9" s="5">
        <v>30</v>
      </c>
      <c r="I9" s="2" t="s">
        <v>1</v>
      </c>
      <c r="J9" s="2" t="s">
        <v>19</v>
      </c>
      <c r="K9" s="3" t="s">
        <v>32</v>
      </c>
    </row>
    <row r="10" spans="1:11" x14ac:dyDescent="0.3">
      <c r="A10" s="3" t="s">
        <v>32</v>
      </c>
      <c r="B10" s="2">
        <v>827236</v>
      </c>
      <c r="C10" s="6" t="s">
        <v>168</v>
      </c>
      <c r="D10" s="20" t="s">
        <v>188</v>
      </c>
      <c r="E10" s="5">
        <v>35</v>
      </c>
      <c r="F10" s="5">
        <v>40</v>
      </c>
      <c r="G10" s="2" t="s">
        <v>13</v>
      </c>
      <c r="H10" s="5">
        <v>40</v>
      </c>
      <c r="I10" s="2" t="s">
        <v>1</v>
      </c>
      <c r="J10" s="2" t="s">
        <v>19</v>
      </c>
      <c r="K10" s="3" t="s">
        <v>32</v>
      </c>
    </row>
    <row r="11" spans="1:11" x14ac:dyDescent="0.3">
      <c r="A11" s="3" t="s">
        <v>140</v>
      </c>
      <c r="B11" s="2">
        <v>795261</v>
      </c>
      <c r="C11" s="6" t="s">
        <v>167</v>
      </c>
      <c r="D11" s="20" t="s">
        <v>188</v>
      </c>
      <c r="E11" s="5">
        <v>30</v>
      </c>
      <c r="F11" s="5">
        <v>30</v>
      </c>
      <c r="G11" s="2" t="s">
        <v>13</v>
      </c>
      <c r="H11" s="5">
        <v>30</v>
      </c>
      <c r="I11" s="2" t="s">
        <v>1</v>
      </c>
      <c r="J11" s="2" t="s">
        <v>19</v>
      </c>
      <c r="K11" s="3" t="s">
        <v>140</v>
      </c>
    </row>
    <row r="12" spans="1:11" x14ac:dyDescent="0.3">
      <c r="A12" s="3" t="s">
        <v>58</v>
      </c>
      <c r="B12" s="2">
        <v>385434</v>
      </c>
      <c r="C12" s="6" t="s">
        <v>163</v>
      </c>
      <c r="D12" s="20" t="s">
        <v>188</v>
      </c>
      <c r="E12" s="5">
        <v>40</v>
      </c>
      <c r="F12" s="5">
        <v>25</v>
      </c>
      <c r="G12" s="2" t="s">
        <v>13</v>
      </c>
      <c r="H12" s="5">
        <v>25</v>
      </c>
      <c r="I12" s="2" t="s">
        <v>1</v>
      </c>
      <c r="J12" s="2" t="s">
        <v>19</v>
      </c>
      <c r="K12" s="3" t="s">
        <v>58</v>
      </c>
    </row>
    <row r="13" spans="1:11" x14ac:dyDescent="0.3">
      <c r="A13" s="3" t="s">
        <v>58</v>
      </c>
      <c r="B13" s="2">
        <v>726822</v>
      </c>
      <c r="C13" s="6" t="s">
        <v>171</v>
      </c>
      <c r="D13" s="20" t="s">
        <v>188</v>
      </c>
      <c r="E13" s="5">
        <v>20</v>
      </c>
      <c r="F13" s="5">
        <v>40</v>
      </c>
      <c r="G13" s="2" t="s">
        <v>13</v>
      </c>
      <c r="H13" s="5">
        <v>40</v>
      </c>
      <c r="I13" s="2" t="s">
        <v>1</v>
      </c>
      <c r="J13" s="2" t="s">
        <v>19</v>
      </c>
      <c r="K13" s="3" t="s">
        <v>58</v>
      </c>
    </row>
    <row r="14" spans="1:11" x14ac:dyDescent="0.3">
      <c r="A14" s="3" t="s">
        <v>58</v>
      </c>
      <c r="B14" s="2">
        <v>769952</v>
      </c>
      <c r="C14" s="6" t="s">
        <v>164</v>
      </c>
      <c r="D14" s="20" t="s">
        <v>188</v>
      </c>
      <c r="E14" s="5">
        <v>35</v>
      </c>
      <c r="F14" s="5">
        <v>30</v>
      </c>
      <c r="G14" s="2" t="s">
        <v>13</v>
      </c>
      <c r="H14" s="5">
        <v>30</v>
      </c>
      <c r="I14" s="2" t="s">
        <v>1</v>
      </c>
      <c r="J14" s="2" t="s">
        <v>19</v>
      </c>
      <c r="K14" s="3" t="s">
        <v>58</v>
      </c>
    </row>
    <row r="15" spans="1:11" x14ac:dyDescent="0.3">
      <c r="A15" s="3" t="s">
        <v>143</v>
      </c>
      <c r="B15" s="2">
        <v>385745</v>
      </c>
      <c r="C15" s="6" t="s">
        <v>170</v>
      </c>
      <c r="D15" s="20" t="s">
        <v>188</v>
      </c>
      <c r="E15" s="5">
        <v>45</v>
      </c>
      <c r="F15" s="5">
        <v>30</v>
      </c>
      <c r="G15" s="2" t="s">
        <v>13</v>
      </c>
      <c r="H15" s="5">
        <v>30</v>
      </c>
      <c r="I15" s="2" t="s">
        <v>1</v>
      </c>
      <c r="J15" s="2" t="s">
        <v>19</v>
      </c>
      <c r="K15" s="3" t="s">
        <v>26</v>
      </c>
    </row>
    <row r="16" spans="1:11" x14ac:dyDescent="0.3">
      <c r="A16" s="3" t="s">
        <v>143</v>
      </c>
      <c r="B16" s="2">
        <v>827236</v>
      </c>
      <c r="C16" s="6" t="s">
        <v>168</v>
      </c>
      <c r="D16" s="20" t="s">
        <v>188</v>
      </c>
      <c r="E16" s="5">
        <v>35</v>
      </c>
      <c r="F16" s="5">
        <v>40</v>
      </c>
      <c r="G16" s="2" t="s">
        <v>13</v>
      </c>
      <c r="H16" s="5">
        <v>40</v>
      </c>
      <c r="I16" s="2" t="s">
        <v>1</v>
      </c>
      <c r="J16" s="2" t="s">
        <v>19</v>
      </c>
      <c r="K16" s="3" t="s">
        <v>26</v>
      </c>
    </row>
    <row r="17" spans="1:11" x14ac:dyDescent="0.3">
      <c r="A17" s="3" t="s">
        <v>73</v>
      </c>
      <c r="B17" s="2">
        <v>666377</v>
      </c>
      <c r="C17" s="6" t="s">
        <v>162</v>
      </c>
      <c r="D17" s="20" t="s">
        <v>189</v>
      </c>
      <c r="E17" s="5">
        <v>20</v>
      </c>
      <c r="F17" s="5">
        <v>45</v>
      </c>
      <c r="G17" s="2" t="s">
        <v>13</v>
      </c>
      <c r="H17" s="5">
        <v>45</v>
      </c>
      <c r="I17" s="2" t="s">
        <v>1</v>
      </c>
      <c r="J17" s="2" t="s">
        <v>19</v>
      </c>
      <c r="K17" s="3" t="s">
        <v>73</v>
      </c>
    </row>
    <row r="18" spans="1:11" x14ac:dyDescent="0.3">
      <c r="A18" s="3" t="s">
        <v>73</v>
      </c>
      <c r="B18" s="2">
        <v>751786</v>
      </c>
      <c r="C18" s="6" t="s">
        <v>169</v>
      </c>
      <c r="D18" s="20" t="s">
        <v>190</v>
      </c>
      <c r="E18" s="5">
        <v>15</v>
      </c>
      <c r="F18" s="5">
        <v>50</v>
      </c>
      <c r="G18" s="2" t="s">
        <v>13</v>
      </c>
      <c r="H18" s="5">
        <v>50</v>
      </c>
      <c r="I18" s="2" t="s">
        <v>1</v>
      </c>
      <c r="J18" s="2" t="s">
        <v>19</v>
      </c>
      <c r="K18" s="3" t="s">
        <v>73</v>
      </c>
    </row>
    <row r="19" spans="1:11" x14ac:dyDescent="0.3">
      <c r="A19" s="3" t="s">
        <v>24</v>
      </c>
      <c r="B19" s="2">
        <v>383657</v>
      </c>
      <c r="C19" s="6" t="s">
        <v>173</v>
      </c>
      <c r="D19" s="20" t="s">
        <v>190</v>
      </c>
      <c r="E19" s="5">
        <v>25</v>
      </c>
      <c r="F19" s="5">
        <v>40</v>
      </c>
      <c r="G19" s="2">
        <v>10</v>
      </c>
      <c r="H19" s="5">
        <v>50</v>
      </c>
      <c r="I19" s="2" t="s">
        <v>1</v>
      </c>
      <c r="J19" s="2" t="s">
        <v>19</v>
      </c>
      <c r="K19" s="3" t="s">
        <v>24</v>
      </c>
    </row>
    <row r="20" spans="1:11" x14ac:dyDescent="0.3">
      <c r="A20" s="3" t="s">
        <v>24</v>
      </c>
      <c r="B20" s="2">
        <v>817085</v>
      </c>
      <c r="C20" s="6" t="s">
        <v>172</v>
      </c>
      <c r="D20" s="20" t="s">
        <v>190</v>
      </c>
      <c r="E20" s="5">
        <v>20</v>
      </c>
      <c r="F20" s="5">
        <v>45</v>
      </c>
      <c r="G20" s="2" t="s">
        <v>13</v>
      </c>
      <c r="H20" s="5">
        <v>45</v>
      </c>
      <c r="I20" s="2" t="s">
        <v>1</v>
      </c>
      <c r="J20" s="2" t="s">
        <v>19</v>
      </c>
      <c r="K20" s="3" t="s">
        <v>24</v>
      </c>
    </row>
    <row r="21" spans="1:11" x14ac:dyDescent="0.3">
      <c r="A21" s="3" t="s">
        <v>45</v>
      </c>
      <c r="B21" s="2">
        <v>685398</v>
      </c>
      <c r="C21" s="6" t="s">
        <v>174</v>
      </c>
      <c r="D21" s="20" t="s">
        <v>190</v>
      </c>
      <c r="E21" s="5">
        <v>25</v>
      </c>
      <c r="F21" s="5">
        <v>40</v>
      </c>
      <c r="G21" s="2">
        <v>10</v>
      </c>
      <c r="H21" s="5">
        <v>50</v>
      </c>
      <c r="I21" s="2" t="s">
        <v>1</v>
      </c>
      <c r="J21" s="2" t="s">
        <v>19</v>
      </c>
      <c r="K21" s="3" t="s">
        <v>140</v>
      </c>
    </row>
    <row r="22" spans="1:11" x14ac:dyDescent="0.3">
      <c r="A22" s="3" t="s">
        <v>129</v>
      </c>
      <c r="B22" s="2">
        <v>666377</v>
      </c>
      <c r="C22" s="6" t="s">
        <v>162</v>
      </c>
      <c r="D22" s="20" t="s">
        <v>190</v>
      </c>
      <c r="E22" s="5">
        <v>20</v>
      </c>
      <c r="F22" s="5">
        <v>45</v>
      </c>
      <c r="G22" s="2" t="s">
        <v>13</v>
      </c>
      <c r="H22" s="5">
        <v>45</v>
      </c>
      <c r="I22" s="2" t="s">
        <v>1</v>
      </c>
      <c r="J22" s="2" t="s">
        <v>19</v>
      </c>
      <c r="K22" s="3" t="s">
        <v>129</v>
      </c>
    </row>
    <row r="23" spans="1:11" x14ac:dyDescent="0.3">
      <c r="A23" s="3" t="s">
        <v>26</v>
      </c>
      <c r="B23" s="2">
        <v>383657</v>
      </c>
      <c r="C23" s="6" t="s">
        <v>173</v>
      </c>
      <c r="D23" s="20" t="s">
        <v>190</v>
      </c>
      <c r="E23" s="5">
        <v>25</v>
      </c>
      <c r="F23" s="5">
        <v>40</v>
      </c>
      <c r="G23" s="2" t="s">
        <v>13</v>
      </c>
      <c r="H23" s="5">
        <v>40</v>
      </c>
      <c r="I23" s="2" t="s">
        <v>1</v>
      </c>
      <c r="J23" s="2" t="s">
        <v>19</v>
      </c>
      <c r="K23" s="3" t="s">
        <v>26</v>
      </c>
    </row>
    <row r="24" spans="1:11" x14ac:dyDescent="0.3">
      <c r="A24" s="3" t="s">
        <v>26</v>
      </c>
      <c r="B24" s="2">
        <v>817085</v>
      </c>
      <c r="C24" s="6" t="s">
        <v>172</v>
      </c>
      <c r="D24" s="20" t="s">
        <v>190</v>
      </c>
      <c r="E24" s="5">
        <v>20</v>
      </c>
      <c r="F24" s="5">
        <v>45</v>
      </c>
      <c r="G24" s="2" t="s">
        <v>13</v>
      </c>
      <c r="H24" s="5">
        <v>45</v>
      </c>
      <c r="I24" s="2" t="s">
        <v>1</v>
      </c>
      <c r="J24" s="2" t="s">
        <v>19</v>
      </c>
      <c r="K24" s="3" t="s">
        <v>26</v>
      </c>
    </row>
    <row r="25" spans="1:11" x14ac:dyDescent="0.3">
      <c r="A25" s="3" t="s">
        <v>17</v>
      </c>
      <c r="B25" s="2">
        <v>685398</v>
      </c>
      <c r="C25" s="6" t="s">
        <v>174</v>
      </c>
      <c r="D25" s="20" t="s">
        <v>190</v>
      </c>
      <c r="E25" s="5">
        <v>25</v>
      </c>
      <c r="F25" s="5">
        <v>40</v>
      </c>
      <c r="G25" s="2" t="s">
        <v>13</v>
      </c>
      <c r="H25" s="5">
        <v>40</v>
      </c>
      <c r="I25" s="2" t="s">
        <v>1</v>
      </c>
      <c r="J25" s="2" t="s">
        <v>19</v>
      </c>
      <c r="K25" s="3" t="s">
        <v>17</v>
      </c>
    </row>
    <row r="26" spans="1:11" x14ac:dyDescent="0.3">
      <c r="A26" s="3" t="s">
        <v>54</v>
      </c>
      <c r="B26" s="2">
        <v>384568</v>
      </c>
      <c r="C26" s="6" t="s">
        <v>166</v>
      </c>
      <c r="D26" s="20" t="s">
        <v>191</v>
      </c>
      <c r="E26" s="5">
        <v>35</v>
      </c>
      <c r="F26" s="5">
        <v>30</v>
      </c>
      <c r="G26" s="2" t="s">
        <v>13</v>
      </c>
      <c r="H26" s="5">
        <v>30</v>
      </c>
      <c r="I26" s="2" t="s">
        <v>1</v>
      </c>
      <c r="J26" s="2" t="s">
        <v>19</v>
      </c>
      <c r="K26" s="3" t="s">
        <v>17</v>
      </c>
    </row>
    <row r="27" spans="1:11" x14ac:dyDescent="0.3">
      <c r="A27" s="3" t="s">
        <v>30</v>
      </c>
      <c r="B27" s="2">
        <v>690919</v>
      </c>
      <c r="C27" s="6" t="s">
        <v>165</v>
      </c>
      <c r="D27" s="20" t="s">
        <v>191</v>
      </c>
      <c r="E27" s="5">
        <v>10</v>
      </c>
      <c r="F27" s="5">
        <v>50</v>
      </c>
      <c r="G27" s="2" t="s">
        <v>13</v>
      </c>
      <c r="H27" s="5">
        <v>50</v>
      </c>
      <c r="I27" s="2" t="s">
        <v>1</v>
      </c>
      <c r="J27" s="2" t="s">
        <v>19</v>
      </c>
      <c r="K27" s="3" t="s">
        <v>40</v>
      </c>
    </row>
    <row r="28" spans="1:11" x14ac:dyDescent="0.3">
      <c r="A28" s="3" t="s">
        <v>18</v>
      </c>
      <c r="B28" s="2">
        <v>690919</v>
      </c>
      <c r="C28" s="6" t="s">
        <v>165</v>
      </c>
      <c r="D28" s="20" t="s">
        <v>191</v>
      </c>
      <c r="E28" s="5">
        <v>10</v>
      </c>
      <c r="F28" s="5">
        <v>50</v>
      </c>
      <c r="G28" s="2" t="s">
        <v>13</v>
      </c>
      <c r="H28" s="5">
        <v>50</v>
      </c>
      <c r="I28" s="2" t="s">
        <v>1</v>
      </c>
      <c r="J28" s="2" t="s">
        <v>19</v>
      </c>
      <c r="K28" s="3" t="s">
        <v>18</v>
      </c>
    </row>
    <row r="29" spans="1:11" x14ac:dyDescent="0.3">
      <c r="A29" s="3" t="s">
        <v>26</v>
      </c>
      <c r="B29" s="2">
        <v>383714</v>
      </c>
      <c r="C29" s="6" t="s">
        <v>175</v>
      </c>
      <c r="D29" s="20" t="s">
        <v>191</v>
      </c>
      <c r="E29" s="5">
        <v>15</v>
      </c>
      <c r="F29" s="5">
        <v>50</v>
      </c>
      <c r="G29" s="2" t="s">
        <v>13</v>
      </c>
      <c r="H29" s="5">
        <v>50</v>
      </c>
      <c r="I29" s="2" t="s">
        <v>1</v>
      </c>
      <c r="J29" s="2" t="s">
        <v>19</v>
      </c>
      <c r="K29" s="3" t="s">
        <v>26</v>
      </c>
    </row>
    <row r="30" spans="1:11" x14ac:dyDescent="0.3">
      <c r="A30" s="3" t="s">
        <v>153</v>
      </c>
      <c r="B30" s="2">
        <v>658013</v>
      </c>
      <c r="C30" s="6" t="s">
        <v>176</v>
      </c>
      <c r="D30" s="20" t="s">
        <v>191</v>
      </c>
      <c r="E30" s="5">
        <v>20</v>
      </c>
      <c r="F30" s="5">
        <v>40</v>
      </c>
      <c r="G30" s="2" t="s">
        <v>13</v>
      </c>
      <c r="H30" s="5">
        <v>40</v>
      </c>
      <c r="I30" s="2" t="s">
        <v>1</v>
      </c>
      <c r="J30" s="2" t="s">
        <v>19</v>
      </c>
      <c r="K30" s="3" t="s">
        <v>153</v>
      </c>
    </row>
    <row r="31" spans="1:11" x14ac:dyDescent="0.3">
      <c r="A31" s="3" t="s">
        <v>28</v>
      </c>
      <c r="B31" s="2">
        <v>690919</v>
      </c>
      <c r="C31" s="6" t="s">
        <v>165</v>
      </c>
      <c r="D31" s="20" t="s">
        <v>191</v>
      </c>
      <c r="E31" s="5">
        <v>10</v>
      </c>
      <c r="F31" s="5">
        <v>50</v>
      </c>
      <c r="G31" s="2" t="s">
        <v>13</v>
      </c>
      <c r="H31" s="5">
        <v>50</v>
      </c>
      <c r="I31" s="2" t="s">
        <v>1</v>
      </c>
      <c r="J31" s="2" t="s">
        <v>19</v>
      </c>
      <c r="K31" s="3" t="s">
        <v>28</v>
      </c>
    </row>
    <row r="32" spans="1:11" x14ac:dyDescent="0.3">
      <c r="A32" s="3" t="s">
        <v>15</v>
      </c>
      <c r="B32" s="2">
        <v>384504</v>
      </c>
      <c r="C32" s="6" t="s">
        <v>160</v>
      </c>
      <c r="D32" s="20" t="s">
        <v>192</v>
      </c>
      <c r="E32" s="5">
        <v>45</v>
      </c>
      <c r="F32" s="5">
        <v>20</v>
      </c>
      <c r="G32" s="2" t="s">
        <v>13</v>
      </c>
      <c r="H32" s="5">
        <v>20</v>
      </c>
      <c r="I32" s="2" t="s">
        <v>1</v>
      </c>
      <c r="J32" s="2" t="s">
        <v>14</v>
      </c>
      <c r="K32" s="3" t="s">
        <v>17</v>
      </c>
    </row>
    <row r="33" spans="1:11" x14ac:dyDescent="0.3">
      <c r="A33" s="3" t="s">
        <v>15</v>
      </c>
      <c r="B33" s="2">
        <v>385209</v>
      </c>
      <c r="C33" s="6" t="s">
        <v>161</v>
      </c>
      <c r="D33" s="20" t="s">
        <v>192</v>
      </c>
      <c r="E33" s="5">
        <v>60</v>
      </c>
      <c r="F33" s="5">
        <v>0</v>
      </c>
      <c r="G33" s="2" t="s">
        <v>13</v>
      </c>
      <c r="H33" s="5">
        <v>0</v>
      </c>
      <c r="I33" s="2" t="s">
        <v>1</v>
      </c>
      <c r="J33" s="2" t="s">
        <v>14</v>
      </c>
      <c r="K33" s="3" t="s">
        <v>17</v>
      </c>
    </row>
    <row r="34" spans="1:11" x14ac:dyDescent="0.3">
      <c r="A34" s="3" t="s">
        <v>20</v>
      </c>
      <c r="B34" s="2">
        <v>384504</v>
      </c>
      <c r="C34" s="6" t="s">
        <v>160</v>
      </c>
      <c r="D34" s="20" t="s">
        <v>192</v>
      </c>
      <c r="E34" s="5">
        <v>45</v>
      </c>
      <c r="F34" s="5">
        <v>20</v>
      </c>
      <c r="G34" s="2" t="s">
        <v>13</v>
      </c>
      <c r="H34" s="5">
        <v>20</v>
      </c>
      <c r="I34" s="2" t="s">
        <v>1</v>
      </c>
      <c r="J34" s="2" t="s">
        <v>14</v>
      </c>
      <c r="K34" s="3" t="s">
        <v>17</v>
      </c>
    </row>
    <row r="35" spans="1:11" x14ac:dyDescent="0.3">
      <c r="A35" s="3" t="s">
        <v>20</v>
      </c>
      <c r="B35" s="2">
        <v>385209</v>
      </c>
      <c r="C35" s="6" t="s">
        <v>161</v>
      </c>
      <c r="D35" s="20" t="s">
        <v>192</v>
      </c>
      <c r="E35" s="5">
        <v>60</v>
      </c>
      <c r="F35" s="5">
        <v>0</v>
      </c>
      <c r="G35" s="2" t="s">
        <v>13</v>
      </c>
      <c r="H35" s="5">
        <v>0</v>
      </c>
      <c r="I35" s="2" t="s">
        <v>1</v>
      </c>
      <c r="J35" s="2" t="s">
        <v>14</v>
      </c>
      <c r="K35" s="3" t="s">
        <v>17</v>
      </c>
    </row>
    <row r="36" spans="1:11" x14ac:dyDescent="0.3">
      <c r="A36" s="3" t="s">
        <v>22</v>
      </c>
      <c r="B36" s="2">
        <v>384504</v>
      </c>
      <c r="C36" s="6" t="s">
        <v>160</v>
      </c>
      <c r="D36" s="20" t="s">
        <v>192</v>
      </c>
      <c r="E36" s="5">
        <v>45</v>
      </c>
      <c r="F36" s="5">
        <v>20</v>
      </c>
      <c r="G36" s="2" t="s">
        <v>13</v>
      </c>
      <c r="H36" s="5">
        <v>20</v>
      </c>
      <c r="I36" s="2" t="s">
        <v>1</v>
      </c>
      <c r="J36" s="2" t="s">
        <v>19</v>
      </c>
      <c r="K36" s="3" t="s">
        <v>17</v>
      </c>
    </row>
    <row r="37" spans="1:11" x14ac:dyDescent="0.3">
      <c r="A37" s="3" t="s">
        <v>22</v>
      </c>
      <c r="B37" s="2">
        <v>385209</v>
      </c>
      <c r="C37" s="6" t="s">
        <v>161</v>
      </c>
      <c r="D37" s="20" t="s">
        <v>192</v>
      </c>
      <c r="E37" s="5">
        <v>60</v>
      </c>
      <c r="F37" s="5">
        <v>0</v>
      </c>
      <c r="G37" s="2" t="s">
        <v>13</v>
      </c>
      <c r="H37" s="5">
        <v>0</v>
      </c>
      <c r="I37" s="2" t="s">
        <v>1</v>
      </c>
      <c r="J37" s="2" t="s">
        <v>19</v>
      </c>
      <c r="K37" s="3" t="s">
        <v>17</v>
      </c>
    </row>
    <row r="38" spans="1:11" x14ac:dyDescent="0.3">
      <c r="A38" s="3" t="s">
        <v>41</v>
      </c>
      <c r="B38" s="2">
        <v>384504</v>
      </c>
      <c r="C38" s="6" t="s">
        <v>160</v>
      </c>
      <c r="D38" s="20" t="s">
        <v>192</v>
      </c>
      <c r="E38" s="5">
        <v>45</v>
      </c>
      <c r="F38" s="5">
        <v>20</v>
      </c>
      <c r="G38" s="2" t="s">
        <v>13</v>
      </c>
      <c r="H38" s="5">
        <v>20</v>
      </c>
      <c r="I38" s="2" t="s">
        <v>1</v>
      </c>
      <c r="J38" s="2" t="s">
        <v>19</v>
      </c>
      <c r="K38" s="3" t="s">
        <v>17</v>
      </c>
    </row>
    <row r="39" spans="1:11" x14ac:dyDescent="0.3">
      <c r="A39" s="3" t="s">
        <v>41</v>
      </c>
      <c r="B39" s="2">
        <v>385209</v>
      </c>
      <c r="C39" s="6" t="s">
        <v>161</v>
      </c>
      <c r="D39" s="20" t="s">
        <v>192</v>
      </c>
      <c r="E39" s="5">
        <v>60</v>
      </c>
      <c r="F39" s="5">
        <v>0</v>
      </c>
      <c r="G39" s="2" t="s">
        <v>13</v>
      </c>
      <c r="H39" s="5">
        <v>0</v>
      </c>
      <c r="I39" s="2" t="s">
        <v>1</v>
      </c>
      <c r="J39" s="2" t="s">
        <v>19</v>
      </c>
      <c r="K39" s="3" t="s">
        <v>17</v>
      </c>
    </row>
    <row r="40" spans="1:11" x14ac:dyDescent="0.3">
      <c r="A40" s="3" t="s">
        <v>30</v>
      </c>
      <c r="B40" s="2">
        <v>384504</v>
      </c>
      <c r="C40" s="6" t="s">
        <v>160</v>
      </c>
      <c r="D40" s="20" t="s">
        <v>192</v>
      </c>
      <c r="E40" s="5">
        <v>45</v>
      </c>
      <c r="F40" s="5">
        <v>20</v>
      </c>
      <c r="G40" s="2" t="s">
        <v>13</v>
      </c>
      <c r="H40" s="5">
        <v>20</v>
      </c>
      <c r="I40" s="2" t="s">
        <v>1</v>
      </c>
      <c r="J40" s="2" t="s">
        <v>19</v>
      </c>
      <c r="K40" s="3" t="s">
        <v>17</v>
      </c>
    </row>
    <row r="41" spans="1:11" x14ac:dyDescent="0.3">
      <c r="A41" s="3" t="s">
        <v>30</v>
      </c>
      <c r="B41" s="2">
        <v>385209</v>
      </c>
      <c r="C41" s="6" t="s">
        <v>161</v>
      </c>
      <c r="D41" s="20" t="s">
        <v>192</v>
      </c>
      <c r="E41" s="5">
        <v>60</v>
      </c>
      <c r="F41" s="5">
        <v>0</v>
      </c>
      <c r="G41" s="2" t="s">
        <v>13</v>
      </c>
      <c r="H41" s="5">
        <v>0</v>
      </c>
      <c r="I41" s="2" t="s">
        <v>1</v>
      </c>
      <c r="J41" s="2" t="s">
        <v>19</v>
      </c>
      <c r="K41" s="3" t="s">
        <v>17</v>
      </c>
    </row>
    <row r="42" spans="1:11" x14ac:dyDescent="0.3">
      <c r="A42" s="3" t="s">
        <v>18</v>
      </c>
      <c r="B42" s="2">
        <v>384504</v>
      </c>
      <c r="C42" s="6" t="s">
        <v>160</v>
      </c>
      <c r="D42" s="20" t="s">
        <v>192</v>
      </c>
      <c r="E42" s="5">
        <v>45</v>
      </c>
      <c r="F42" s="5">
        <v>20</v>
      </c>
      <c r="G42" s="2" t="s">
        <v>13</v>
      </c>
      <c r="H42" s="5">
        <v>20</v>
      </c>
      <c r="I42" s="2" t="s">
        <v>1</v>
      </c>
      <c r="J42" s="2" t="s">
        <v>19</v>
      </c>
      <c r="K42" s="3" t="s">
        <v>17</v>
      </c>
    </row>
    <row r="43" spans="1:11" x14ac:dyDescent="0.3">
      <c r="A43" s="3" t="s">
        <v>18</v>
      </c>
      <c r="B43" s="2">
        <v>385209</v>
      </c>
      <c r="C43" s="6" t="s">
        <v>161</v>
      </c>
      <c r="D43" s="20" t="s">
        <v>192</v>
      </c>
      <c r="E43" s="5">
        <v>60</v>
      </c>
      <c r="F43" s="5">
        <v>0</v>
      </c>
      <c r="G43" s="2" t="s">
        <v>13</v>
      </c>
      <c r="H43" s="5">
        <v>0</v>
      </c>
      <c r="I43" s="2" t="s">
        <v>1</v>
      </c>
      <c r="J43" s="2" t="s">
        <v>19</v>
      </c>
      <c r="K43" s="3" t="s">
        <v>17</v>
      </c>
    </row>
    <row r="44" spans="1:11" x14ac:dyDescent="0.3">
      <c r="A44" s="3" t="s">
        <v>28</v>
      </c>
      <c r="B44" s="2">
        <v>384504</v>
      </c>
      <c r="C44" s="6" t="s">
        <v>160</v>
      </c>
      <c r="D44" s="20" t="s">
        <v>192</v>
      </c>
      <c r="E44" s="5">
        <v>45</v>
      </c>
      <c r="F44" s="5">
        <v>20</v>
      </c>
      <c r="G44" s="2" t="s">
        <v>13</v>
      </c>
      <c r="H44" s="5">
        <v>20</v>
      </c>
      <c r="I44" s="2" t="s">
        <v>1</v>
      </c>
      <c r="J44" s="2" t="s">
        <v>19</v>
      </c>
      <c r="K44" s="3" t="s">
        <v>17</v>
      </c>
    </row>
    <row r="45" spans="1:11" x14ac:dyDescent="0.3">
      <c r="A45" s="3" t="s">
        <v>28</v>
      </c>
      <c r="B45" s="2">
        <v>385209</v>
      </c>
      <c r="C45" s="6" t="s">
        <v>161</v>
      </c>
      <c r="D45" s="20" t="s">
        <v>192</v>
      </c>
      <c r="E45" s="5">
        <v>60</v>
      </c>
      <c r="F45" s="5">
        <v>0</v>
      </c>
      <c r="G45" s="2" t="s">
        <v>13</v>
      </c>
      <c r="H45" s="5">
        <v>0</v>
      </c>
      <c r="I45" s="2" t="s">
        <v>1</v>
      </c>
      <c r="J45" s="2" t="s">
        <v>19</v>
      </c>
      <c r="K45" s="3" t="s">
        <v>17</v>
      </c>
    </row>
  </sheetData>
  <sheetProtection formatCells="0" formatColumns="0" formatRows="0" insertColumns="0" insertRows="0" insertHyperlinks="0" deleteColumns="0" deleteRows="0" sort="0" autoFilter="0" pivotTables="0"/>
  <autoFilter ref="A1:K1" xr:uid="{00000000-0001-0000-0100-000000000000}">
    <sortState xmlns:xlrd2="http://schemas.microsoft.com/office/spreadsheetml/2017/richdata2" ref="A2:K895">
      <sortCondition ref="D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3B1F3-EBFD-484F-9054-9004E7DE96BF}">
  <sheetPr codeName="Sheet3"/>
  <dimension ref="A1:H5"/>
  <sheetViews>
    <sheetView workbookViewId="0">
      <selection activeCell="J11" sqref="J11"/>
    </sheetView>
  </sheetViews>
  <sheetFormatPr defaultRowHeight="14.4" x14ac:dyDescent="0.3"/>
  <cols>
    <col min="1" max="1" width="50" bestFit="1" customWidth="1"/>
    <col min="4" max="4" width="11.77734375" bestFit="1" customWidth="1"/>
    <col min="5" max="5" width="12.5546875" bestFit="1" customWidth="1"/>
    <col min="6" max="6" width="10.88671875" bestFit="1" customWidth="1"/>
    <col min="7" max="7" width="9.33203125" bestFit="1" customWidth="1"/>
    <col min="8" max="9" width="11" bestFit="1" customWidth="1"/>
    <col min="10" max="13" width="13.21875" bestFit="1" customWidth="1"/>
  </cols>
  <sheetData>
    <row r="1" spans="1:8" x14ac:dyDescent="0.3">
      <c r="A1" s="8" t="s">
        <v>5</v>
      </c>
      <c r="B1" s="8" t="s">
        <v>3</v>
      </c>
      <c r="C1" s="8" t="s">
        <v>4</v>
      </c>
      <c r="D1" s="8" t="s">
        <v>10</v>
      </c>
      <c r="E1" s="7" t="s">
        <v>156</v>
      </c>
      <c r="F1" s="9" t="s">
        <v>157</v>
      </c>
      <c r="G1" s="9" t="s">
        <v>158</v>
      </c>
      <c r="H1" s="10" t="s">
        <v>159</v>
      </c>
    </row>
    <row r="2" spans="1:8" x14ac:dyDescent="0.3">
      <c r="A2" s="7" t="s">
        <v>75</v>
      </c>
      <c r="B2" s="11">
        <v>383714</v>
      </c>
      <c r="C2" s="7" t="s">
        <v>179</v>
      </c>
      <c r="D2" s="7" t="s">
        <v>19</v>
      </c>
      <c r="E2" s="7">
        <v>15</v>
      </c>
      <c r="F2" s="9">
        <v>50</v>
      </c>
      <c r="G2" s="9">
        <v>0</v>
      </c>
      <c r="H2" s="10">
        <v>50</v>
      </c>
    </row>
    <row r="3" spans="1:8" x14ac:dyDescent="0.3">
      <c r="A3" s="14"/>
      <c r="B3" s="11">
        <v>658013</v>
      </c>
      <c r="C3" s="7" t="s">
        <v>180</v>
      </c>
      <c r="D3" s="7" t="s">
        <v>19</v>
      </c>
      <c r="E3" s="7">
        <v>20</v>
      </c>
      <c r="F3" s="9">
        <v>40</v>
      </c>
      <c r="G3" s="9">
        <v>0</v>
      </c>
      <c r="H3" s="10">
        <v>40</v>
      </c>
    </row>
    <row r="4" spans="1:8" x14ac:dyDescent="0.3">
      <c r="A4" s="14"/>
      <c r="B4" s="11">
        <v>690919</v>
      </c>
      <c r="C4" s="7" t="s">
        <v>181</v>
      </c>
      <c r="D4" s="7" t="s">
        <v>19</v>
      </c>
      <c r="E4" s="7">
        <v>30</v>
      </c>
      <c r="F4" s="9">
        <v>150</v>
      </c>
      <c r="G4" s="9">
        <v>0</v>
      </c>
      <c r="H4" s="10">
        <v>150</v>
      </c>
    </row>
    <row r="5" spans="1:8" x14ac:dyDescent="0.3">
      <c r="A5" s="12" t="s">
        <v>182</v>
      </c>
      <c r="B5" s="13"/>
      <c r="C5" s="13"/>
      <c r="D5" s="13"/>
      <c r="E5" s="12">
        <v>65</v>
      </c>
      <c r="F5" s="18">
        <v>240</v>
      </c>
      <c r="G5" s="18">
        <v>0</v>
      </c>
      <c r="H5" s="19">
        <v>240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49427-5BD6-4D8E-9EA8-C22D0E794D64}">
  <sheetPr codeName="Sheet238"/>
  <dimension ref="A1:C118"/>
  <sheetViews>
    <sheetView topLeftCell="A103" workbookViewId="0">
      <selection activeCell="C2" sqref="C2"/>
    </sheetView>
  </sheetViews>
  <sheetFormatPr defaultRowHeight="14.4" x14ac:dyDescent="0.3"/>
  <cols>
    <col min="1" max="1" width="38.109375" bestFit="1" customWidth="1"/>
    <col min="2" max="2" width="48.109375" customWidth="1"/>
  </cols>
  <sheetData>
    <row r="1" spans="1:3" x14ac:dyDescent="0.3">
      <c r="A1" t="s">
        <v>5</v>
      </c>
      <c r="B1" t="s">
        <v>177</v>
      </c>
      <c r="C1" t="s">
        <v>178</v>
      </c>
    </row>
    <row r="2" spans="1:3" x14ac:dyDescent="0.3">
      <c r="A2" s="15" t="s">
        <v>51</v>
      </c>
      <c r="B2" s="17"/>
      <c r="C2" t="str">
        <f>"'FilePath'&amp;"&amp;A2</f>
        <v>'FilePath'&amp;Adam Collie Eccleston</v>
      </c>
    </row>
    <row r="3" spans="1:3" x14ac:dyDescent="0.3">
      <c r="A3" s="16" t="s">
        <v>116</v>
      </c>
      <c r="B3" s="17"/>
      <c r="C3" t="str">
        <f t="shared" ref="C3:C66" si="0">"'FilePath'&amp;"&amp;A3</f>
        <v>'FilePath'&amp;Alexandria Hays</v>
      </c>
    </row>
    <row r="4" spans="1:3" x14ac:dyDescent="0.3">
      <c r="A4" s="16" t="s">
        <v>130</v>
      </c>
      <c r="B4" s="17"/>
      <c r="C4" t="str">
        <f t="shared" si="0"/>
        <v>'FilePath'&amp;Alicia Pace</v>
      </c>
    </row>
    <row r="5" spans="1:3" x14ac:dyDescent="0.3">
      <c r="A5" s="16" t="s">
        <v>75</v>
      </c>
      <c r="B5" s="17"/>
      <c r="C5" t="str">
        <f t="shared" si="0"/>
        <v>'FilePath'&amp;Alison Green</v>
      </c>
    </row>
    <row r="6" spans="1:3" x14ac:dyDescent="0.3">
      <c r="A6" s="16" t="s">
        <v>16</v>
      </c>
      <c r="B6" s="17"/>
      <c r="C6" t="str">
        <f t="shared" si="0"/>
        <v>'FilePath'&amp;Ananda Moss-Byas</v>
      </c>
    </row>
    <row r="7" spans="1:3" x14ac:dyDescent="0.3">
      <c r="A7" s="16" t="s">
        <v>90</v>
      </c>
      <c r="B7" s="17"/>
      <c r="C7" t="str">
        <f t="shared" si="0"/>
        <v>'FilePath'&amp;Anita Jung</v>
      </c>
    </row>
    <row r="8" spans="1:3" x14ac:dyDescent="0.3">
      <c r="A8" s="16" t="s">
        <v>109</v>
      </c>
      <c r="B8" s="17"/>
      <c r="C8" t="str">
        <f t="shared" si="0"/>
        <v>'FilePath'&amp;Anna Eastman</v>
      </c>
    </row>
    <row r="9" spans="1:3" x14ac:dyDescent="0.3">
      <c r="A9" s="16" t="s">
        <v>106</v>
      </c>
      <c r="B9" s="17"/>
      <c r="C9" t="str">
        <f t="shared" si="0"/>
        <v>'FilePath'&amp;Anne Korinek</v>
      </c>
    </row>
    <row r="10" spans="1:3" x14ac:dyDescent="0.3">
      <c r="A10" s="16" t="s">
        <v>142</v>
      </c>
      <c r="B10" s="17"/>
      <c r="C10" t="str">
        <f t="shared" si="0"/>
        <v>'FilePath'&amp;Benjamin Adam Johnson</v>
      </c>
    </row>
    <row r="11" spans="1:3" x14ac:dyDescent="0.3">
      <c r="A11" s="16" t="s">
        <v>71</v>
      </c>
      <c r="B11" s="17"/>
      <c r="C11" t="str">
        <f t="shared" si="0"/>
        <v>'FilePath'&amp;Blair Rhodes</v>
      </c>
    </row>
    <row r="12" spans="1:3" x14ac:dyDescent="0.3">
      <c r="A12" s="16" t="s">
        <v>112</v>
      </c>
      <c r="B12" s="17"/>
      <c r="C12" t="str">
        <f t="shared" si="0"/>
        <v>'FilePath'&amp;Bonnie Madison</v>
      </c>
    </row>
    <row r="13" spans="1:3" x14ac:dyDescent="0.3">
      <c r="A13" s="16" t="s">
        <v>86</v>
      </c>
      <c r="B13" s="17"/>
      <c r="C13" t="str">
        <f t="shared" si="0"/>
        <v>'FilePath'&amp;Brad Colbert</v>
      </c>
    </row>
    <row r="14" spans="1:3" x14ac:dyDescent="0.3">
      <c r="A14" s="16" t="s">
        <v>121</v>
      </c>
      <c r="B14" s="17"/>
      <c r="C14" t="str">
        <f t="shared" si="0"/>
        <v>'FilePath'&amp;Brandie Cole</v>
      </c>
    </row>
    <row r="15" spans="1:3" x14ac:dyDescent="0.3">
      <c r="A15" s="16" t="s">
        <v>66</v>
      </c>
      <c r="B15" s="17"/>
      <c r="C15" t="str">
        <f t="shared" si="0"/>
        <v>'FilePath'&amp;Brendan Owens</v>
      </c>
    </row>
    <row r="16" spans="1:3" x14ac:dyDescent="0.3">
      <c r="A16" s="16" t="s">
        <v>59</v>
      </c>
      <c r="B16" s="17"/>
      <c r="C16" t="str">
        <f t="shared" si="0"/>
        <v>'FilePath'&amp;CARMAhealth PLLC</v>
      </c>
    </row>
    <row r="17" spans="1:3" x14ac:dyDescent="0.3">
      <c r="A17" s="16" t="s">
        <v>120</v>
      </c>
      <c r="B17" s="17"/>
      <c r="C17" t="str">
        <f t="shared" si="0"/>
        <v>'FilePath'&amp;Cassandra Gonzalez</v>
      </c>
    </row>
    <row r="18" spans="1:3" x14ac:dyDescent="0.3">
      <c r="A18" s="16" t="s">
        <v>124</v>
      </c>
      <c r="B18" s="17"/>
      <c r="C18" t="str">
        <f t="shared" si="0"/>
        <v>'FilePath'&amp;Catalina Roads</v>
      </c>
    </row>
    <row r="19" spans="1:3" x14ac:dyDescent="0.3">
      <c r="A19" s="16" t="s">
        <v>88</v>
      </c>
      <c r="B19" s="17"/>
      <c r="C19" t="str">
        <f t="shared" si="0"/>
        <v>'FilePath'&amp;Catherine Cogburn</v>
      </c>
    </row>
    <row r="20" spans="1:3" x14ac:dyDescent="0.3">
      <c r="A20" s="16" t="s">
        <v>33</v>
      </c>
      <c r="B20" s="17"/>
      <c r="C20" t="str">
        <f t="shared" si="0"/>
        <v>'FilePath'&amp;Chance Ramirez</v>
      </c>
    </row>
    <row r="21" spans="1:3" x14ac:dyDescent="0.3">
      <c r="A21" s="16" t="s">
        <v>49</v>
      </c>
      <c r="B21" s="17"/>
      <c r="C21" t="str">
        <f t="shared" si="0"/>
        <v>'FilePath'&amp;Chatone Strickland</v>
      </c>
    </row>
    <row r="22" spans="1:3" x14ac:dyDescent="0.3">
      <c r="A22" s="16" t="s">
        <v>108</v>
      </c>
      <c r="B22" s="17"/>
      <c r="C22" t="str">
        <f t="shared" si="0"/>
        <v>'FilePath'&amp;Chris Farrell</v>
      </c>
    </row>
    <row r="23" spans="1:3" x14ac:dyDescent="0.3">
      <c r="A23" s="16" t="s">
        <v>83</v>
      </c>
      <c r="B23" s="17"/>
      <c r="C23" t="str">
        <f t="shared" si="0"/>
        <v>'FilePath'&amp;Christie Wilke</v>
      </c>
    </row>
    <row r="24" spans="1:3" x14ac:dyDescent="0.3">
      <c r="A24" s="16" t="s">
        <v>60</v>
      </c>
      <c r="B24" s="17"/>
      <c r="C24" t="str">
        <f t="shared" si="0"/>
        <v>'FilePath'&amp;Christopher J. Cisneros</v>
      </c>
    </row>
    <row r="25" spans="1:3" x14ac:dyDescent="0.3">
      <c r="A25" s="16" t="s">
        <v>78</v>
      </c>
      <c r="B25" s="17"/>
      <c r="C25" t="str">
        <f t="shared" si="0"/>
        <v>'FilePath'&amp;Chrysalis Psychotherapy</v>
      </c>
    </row>
    <row r="26" spans="1:3" x14ac:dyDescent="0.3">
      <c r="A26" s="16" t="s">
        <v>47</v>
      </c>
      <c r="B26" s="17"/>
      <c r="C26" t="str">
        <f t="shared" si="0"/>
        <v>'FilePath'&amp;Claudine Lucena</v>
      </c>
    </row>
    <row r="27" spans="1:3" x14ac:dyDescent="0.3">
      <c r="A27" s="16" t="s">
        <v>134</v>
      </c>
      <c r="B27" s="17"/>
      <c r="C27" t="str">
        <f t="shared" si="0"/>
        <v>'FilePath'&amp;Comfort Care and Counseling, PLLC</v>
      </c>
    </row>
    <row r="28" spans="1:3" x14ac:dyDescent="0.3">
      <c r="A28" s="16" t="s">
        <v>145</v>
      </c>
      <c r="B28" s="17"/>
      <c r="C28" t="str">
        <f t="shared" si="0"/>
        <v>'FilePath'&amp;Cynthia Netting</v>
      </c>
    </row>
    <row r="29" spans="1:3" x14ac:dyDescent="0.3">
      <c r="A29" s="16" t="s">
        <v>110</v>
      </c>
      <c r="B29" s="17"/>
      <c r="C29" t="str">
        <f t="shared" si="0"/>
        <v>'FilePath'&amp;Dan Stober</v>
      </c>
    </row>
    <row r="30" spans="1:3" x14ac:dyDescent="0.3">
      <c r="A30" s="16" t="s">
        <v>135</v>
      </c>
      <c r="B30" s="17"/>
      <c r="C30" t="str">
        <f t="shared" si="0"/>
        <v>'FilePath'&amp;Daniel Escobar</v>
      </c>
    </row>
    <row r="31" spans="1:3" x14ac:dyDescent="0.3">
      <c r="A31" s="16" t="s">
        <v>65</v>
      </c>
      <c r="B31" s="17"/>
      <c r="C31" t="str">
        <f t="shared" si="0"/>
        <v>'FilePath'&amp;Darcy Scott</v>
      </c>
    </row>
    <row r="32" spans="1:3" x14ac:dyDescent="0.3">
      <c r="A32" s="16" t="s">
        <v>87</v>
      </c>
      <c r="B32" s="17"/>
      <c r="C32" t="str">
        <f t="shared" si="0"/>
        <v>'FilePath'&amp;David Braham</v>
      </c>
    </row>
    <row r="33" spans="1:3" x14ac:dyDescent="0.3">
      <c r="A33" s="16" t="s">
        <v>92</v>
      </c>
      <c r="B33" s="17"/>
      <c r="C33" t="str">
        <f t="shared" si="0"/>
        <v>'FilePath'&amp;David Fornos</v>
      </c>
    </row>
    <row r="34" spans="1:3" x14ac:dyDescent="0.3">
      <c r="A34" s="16" t="s">
        <v>99</v>
      </c>
      <c r="B34" s="17"/>
      <c r="C34" t="str">
        <f t="shared" si="0"/>
        <v>'FilePath'&amp;Deann Acton</v>
      </c>
    </row>
    <row r="35" spans="1:3" x14ac:dyDescent="0.3">
      <c r="A35" s="16" t="s">
        <v>23</v>
      </c>
      <c r="B35" s="17"/>
      <c r="C35" t="str">
        <f t="shared" si="0"/>
        <v>'FilePath'&amp;Deanna Miesch</v>
      </c>
    </row>
    <row r="36" spans="1:3" x14ac:dyDescent="0.3">
      <c r="A36" s="16" t="s">
        <v>104</v>
      </c>
      <c r="B36" s="17"/>
      <c r="C36" t="str">
        <f t="shared" si="0"/>
        <v>'FilePath'&amp;Delaney Menell</v>
      </c>
    </row>
    <row r="37" spans="1:3" x14ac:dyDescent="0.3">
      <c r="A37" s="16" t="s">
        <v>91</v>
      </c>
      <c r="B37" s="17"/>
      <c r="C37" t="str">
        <f t="shared" si="0"/>
        <v>'FilePath'&amp;Denisa Washington</v>
      </c>
    </row>
    <row r="38" spans="1:3" x14ac:dyDescent="0.3">
      <c r="A38" s="16" t="s">
        <v>67</v>
      </c>
      <c r="B38" s="17"/>
      <c r="C38" t="str">
        <f t="shared" si="0"/>
        <v>'FilePath'&amp;Destany Schadder</v>
      </c>
    </row>
    <row r="39" spans="1:3" x14ac:dyDescent="0.3">
      <c r="A39" s="16" t="s">
        <v>97</v>
      </c>
      <c r="B39" s="17"/>
      <c r="C39" t="str">
        <f t="shared" si="0"/>
        <v>'FilePath'&amp;Dianne Fish</v>
      </c>
    </row>
    <row r="40" spans="1:3" x14ac:dyDescent="0.3">
      <c r="A40" s="16" t="s">
        <v>139</v>
      </c>
      <c r="B40" s="17"/>
      <c r="C40" t="str">
        <f t="shared" si="0"/>
        <v>'FilePath'&amp;Dixon J. Parnell</v>
      </c>
    </row>
    <row r="41" spans="1:3" x14ac:dyDescent="0.3">
      <c r="A41" s="16" t="s">
        <v>63</v>
      </c>
      <c r="B41" s="17"/>
      <c r="C41" t="str">
        <f t="shared" si="0"/>
        <v>'FilePath'&amp;Don Jones</v>
      </c>
    </row>
    <row r="42" spans="1:3" x14ac:dyDescent="0.3">
      <c r="A42" s="16" t="s">
        <v>136</v>
      </c>
      <c r="B42" s="17"/>
      <c r="C42" t="str">
        <f t="shared" si="0"/>
        <v>'FilePath'&amp;Eboni Hamilton</v>
      </c>
    </row>
    <row r="43" spans="1:3" x14ac:dyDescent="0.3">
      <c r="A43" s="16" t="s">
        <v>147</v>
      </c>
      <c r="B43" s="17"/>
      <c r="C43" t="str">
        <f t="shared" si="0"/>
        <v>'FilePath'&amp;Edward Dreslinski</v>
      </c>
    </row>
    <row r="44" spans="1:3" x14ac:dyDescent="0.3">
      <c r="A44" s="16" t="s">
        <v>119</v>
      </c>
      <c r="B44" s="17"/>
      <c r="C44" t="str">
        <f t="shared" si="0"/>
        <v>'FilePath'&amp;Elizabeth Dossman</v>
      </c>
    </row>
    <row r="45" spans="1:3" x14ac:dyDescent="0.3">
      <c r="A45" s="16" t="s">
        <v>38</v>
      </c>
      <c r="B45" s="17"/>
      <c r="C45" t="str">
        <f t="shared" si="0"/>
        <v>'FilePath'&amp;Elizaveta Potapenko</v>
      </c>
    </row>
    <row r="46" spans="1:3" x14ac:dyDescent="0.3">
      <c r="A46" s="16" t="s">
        <v>131</v>
      </c>
      <c r="B46" s="17"/>
      <c r="C46" t="str">
        <f t="shared" si="0"/>
        <v>'FilePath'&amp;Fabianna L Laby</v>
      </c>
    </row>
    <row r="47" spans="1:3" x14ac:dyDescent="0.3">
      <c r="A47" s="16" t="s">
        <v>155</v>
      </c>
      <c r="B47" s="17"/>
      <c r="C47" t="str">
        <f t="shared" si="0"/>
        <v>'FilePath'&amp;Frances Shelby</v>
      </c>
    </row>
    <row r="48" spans="1:3" x14ac:dyDescent="0.3">
      <c r="A48" s="16" t="s">
        <v>96</v>
      </c>
      <c r="B48" s="17"/>
      <c r="C48" t="str">
        <f t="shared" si="0"/>
        <v>'FilePath'&amp;Frederic Wilson</v>
      </c>
    </row>
    <row r="49" spans="1:3" x14ac:dyDescent="0.3">
      <c r="A49" s="16" t="s">
        <v>36</v>
      </c>
      <c r="B49" s="17"/>
      <c r="C49" t="str">
        <f t="shared" si="0"/>
        <v>'FilePath'&amp;Gabrielle Zandan</v>
      </c>
    </row>
    <row r="50" spans="1:3" x14ac:dyDescent="0.3">
      <c r="A50" s="16" t="s">
        <v>37</v>
      </c>
      <c r="B50" s="17"/>
      <c r="C50" t="str">
        <f t="shared" si="0"/>
        <v>'FilePath'&amp;Gianna Viola</v>
      </c>
    </row>
    <row r="51" spans="1:3" x14ac:dyDescent="0.3">
      <c r="A51" s="16" t="s">
        <v>101</v>
      </c>
      <c r="B51" s="17"/>
      <c r="C51" t="str">
        <f t="shared" si="0"/>
        <v>'FilePath'&amp;Heather Nirenberg McKillip</v>
      </c>
    </row>
    <row r="52" spans="1:3" x14ac:dyDescent="0.3">
      <c r="A52" s="16" t="s">
        <v>138</v>
      </c>
      <c r="B52" s="17"/>
      <c r="C52" t="str">
        <f t="shared" si="0"/>
        <v>'FilePath'&amp;Hector Del Toro</v>
      </c>
    </row>
    <row r="53" spans="1:3" x14ac:dyDescent="0.3">
      <c r="A53" s="16" t="s">
        <v>125</v>
      </c>
      <c r="B53" s="17"/>
      <c r="C53" t="str">
        <f t="shared" si="0"/>
        <v>'FilePath'&amp;Ilicia Balaban</v>
      </c>
    </row>
    <row r="54" spans="1:3" x14ac:dyDescent="0.3">
      <c r="A54" s="16" t="s">
        <v>98</v>
      </c>
      <c r="B54" s="17"/>
      <c r="C54" t="str">
        <f t="shared" si="0"/>
        <v>'FilePath'&amp;J. Jade Adair</v>
      </c>
    </row>
    <row r="55" spans="1:3" x14ac:dyDescent="0.3">
      <c r="A55" s="16" t="s">
        <v>100</v>
      </c>
      <c r="B55" s="17"/>
      <c r="C55" t="str">
        <f t="shared" si="0"/>
        <v>'FilePath'&amp;James Maxwell</v>
      </c>
    </row>
    <row r="56" spans="1:3" x14ac:dyDescent="0.3">
      <c r="A56" s="16" t="s">
        <v>81</v>
      </c>
      <c r="B56" s="17"/>
      <c r="C56" t="str">
        <f t="shared" si="0"/>
        <v>'FilePath'&amp;Jasmine Espinoza</v>
      </c>
    </row>
    <row r="57" spans="1:3" x14ac:dyDescent="0.3">
      <c r="A57" s="16" t="s">
        <v>68</v>
      </c>
      <c r="B57" s="17"/>
      <c r="C57" t="str">
        <f t="shared" si="0"/>
        <v>'FilePath'&amp;Jean Ann Cordes Therapy</v>
      </c>
    </row>
    <row r="58" spans="1:3" x14ac:dyDescent="0.3">
      <c r="A58" s="16" t="s">
        <v>62</v>
      </c>
      <c r="B58" s="17"/>
      <c r="C58" t="str">
        <f t="shared" si="0"/>
        <v>'FilePath'&amp;Jennifer Biddle</v>
      </c>
    </row>
    <row r="59" spans="1:3" x14ac:dyDescent="0.3">
      <c r="A59" s="16" t="s">
        <v>111</v>
      </c>
      <c r="B59" s="17"/>
      <c r="C59" t="str">
        <f t="shared" si="0"/>
        <v>'FilePath'&amp;Jennifer Frazier</v>
      </c>
    </row>
    <row r="60" spans="1:3" x14ac:dyDescent="0.3">
      <c r="A60" s="16" t="s">
        <v>27</v>
      </c>
      <c r="B60" s="17"/>
      <c r="C60" t="str">
        <f t="shared" si="0"/>
        <v>'FilePath'&amp;Jill Adams</v>
      </c>
    </row>
    <row r="61" spans="1:3" x14ac:dyDescent="0.3">
      <c r="A61" s="16" t="s">
        <v>82</v>
      </c>
      <c r="B61" s="17"/>
      <c r="C61" t="str">
        <f t="shared" si="0"/>
        <v>'FilePath'&amp;Joann Martilloti-Cartwright</v>
      </c>
    </row>
    <row r="62" spans="1:3" x14ac:dyDescent="0.3">
      <c r="A62" s="16" t="s">
        <v>46</v>
      </c>
      <c r="B62" s="17"/>
      <c r="C62" t="str">
        <f t="shared" si="0"/>
        <v>'FilePath'&amp;Julia Fazio</v>
      </c>
    </row>
    <row r="63" spans="1:3" x14ac:dyDescent="0.3">
      <c r="A63" s="16" t="s">
        <v>70</v>
      </c>
      <c r="B63" s="17"/>
      <c r="C63" t="str">
        <f t="shared" si="0"/>
        <v>'FilePath'&amp;Karen Finley Breeding</v>
      </c>
    </row>
    <row r="64" spans="1:3" x14ac:dyDescent="0.3">
      <c r="A64" s="16" t="s">
        <v>76</v>
      </c>
      <c r="B64" s="17"/>
      <c r="C64" t="str">
        <f t="shared" si="0"/>
        <v>'FilePath'&amp;Kate Sheddan</v>
      </c>
    </row>
    <row r="65" spans="1:3" x14ac:dyDescent="0.3">
      <c r="A65" s="16" t="s">
        <v>31</v>
      </c>
      <c r="B65" s="17"/>
      <c r="C65" t="str">
        <f t="shared" si="0"/>
        <v>'FilePath'&amp;Kelli Hansen</v>
      </c>
    </row>
    <row r="66" spans="1:3" x14ac:dyDescent="0.3">
      <c r="A66" s="16" t="s">
        <v>80</v>
      </c>
      <c r="B66" s="17"/>
      <c r="C66" t="str">
        <f t="shared" si="0"/>
        <v>'FilePath'&amp;Kelly Gadbury</v>
      </c>
    </row>
    <row r="67" spans="1:3" x14ac:dyDescent="0.3">
      <c r="A67" s="16" t="s">
        <v>103</v>
      </c>
      <c r="B67" s="17"/>
      <c r="C67" t="str">
        <f t="shared" ref="C67:C118" si="1">"'FilePath'&amp;"&amp;A67</f>
        <v>'FilePath'&amp;Kendall Campbell</v>
      </c>
    </row>
    <row r="68" spans="1:3" x14ac:dyDescent="0.3">
      <c r="A68" s="16" t="s">
        <v>117</v>
      </c>
      <c r="B68" s="17"/>
      <c r="C68" t="str">
        <f t="shared" si="1"/>
        <v>'FilePath'&amp;Kery Rowden</v>
      </c>
    </row>
    <row r="69" spans="1:3" x14ac:dyDescent="0.3">
      <c r="A69" s="16" t="s">
        <v>113</v>
      </c>
      <c r="B69" s="17"/>
      <c r="C69" t="str">
        <f t="shared" si="1"/>
        <v>'FilePath'&amp;Kimberly May</v>
      </c>
    </row>
    <row r="70" spans="1:3" x14ac:dyDescent="0.3">
      <c r="A70" s="16" t="s">
        <v>39</v>
      </c>
      <c r="B70" s="17"/>
      <c r="C70" t="str">
        <f t="shared" si="1"/>
        <v>'FilePath'&amp;Kirk VanLaningham</v>
      </c>
    </row>
    <row r="71" spans="1:3" x14ac:dyDescent="0.3">
      <c r="A71" s="16" t="s">
        <v>89</v>
      </c>
      <c r="B71" s="17"/>
      <c r="C71" t="str">
        <f t="shared" si="1"/>
        <v>'FilePath'&amp;Krystal Felan</v>
      </c>
    </row>
    <row r="72" spans="1:3" x14ac:dyDescent="0.3">
      <c r="A72" s="16" t="s">
        <v>95</v>
      </c>
      <c r="B72" s="17"/>
      <c r="C72" t="str">
        <f t="shared" si="1"/>
        <v>'FilePath'&amp;LaDetra Woodson</v>
      </c>
    </row>
    <row r="73" spans="1:3" x14ac:dyDescent="0.3">
      <c r="A73" s="16" t="s">
        <v>44</v>
      </c>
      <c r="B73" s="17"/>
      <c r="C73" t="str">
        <f t="shared" si="1"/>
        <v>'FilePath'&amp;Laura Brudowsky</v>
      </c>
    </row>
    <row r="74" spans="1:3" x14ac:dyDescent="0.3">
      <c r="A74" s="16" t="s">
        <v>102</v>
      </c>
      <c r="B74" s="17"/>
      <c r="C74" t="str">
        <f t="shared" si="1"/>
        <v>'FilePath'&amp;Lee Ann Cameron</v>
      </c>
    </row>
    <row r="75" spans="1:3" x14ac:dyDescent="0.3">
      <c r="A75" s="16" t="s">
        <v>127</v>
      </c>
      <c r="B75" s="17"/>
      <c r="C75" t="str">
        <f t="shared" si="1"/>
        <v>'FilePath'&amp;Leigh Tenhet</v>
      </c>
    </row>
    <row r="76" spans="1:3" x14ac:dyDescent="0.3">
      <c r="A76" s="16" t="s">
        <v>133</v>
      </c>
      <c r="B76" s="17"/>
      <c r="C76" t="str">
        <f t="shared" si="1"/>
        <v>'FilePath'&amp;Leslie Larson</v>
      </c>
    </row>
    <row r="77" spans="1:3" x14ac:dyDescent="0.3">
      <c r="A77" s="16" t="s">
        <v>55</v>
      </c>
      <c r="B77" s="17"/>
      <c r="C77" t="str">
        <f t="shared" si="1"/>
        <v>'FilePath'&amp;Leslie Tourish</v>
      </c>
    </row>
    <row r="78" spans="1:3" x14ac:dyDescent="0.3">
      <c r="A78" s="16" t="s">
        <v>141</v>
      </c>
      <c r="B78" s="17"/>
      <c r="C78" t="str">
        <f t="shared" si="1"/>
        <v>'FilePath'&amp;Lindy Noll</v>
      </c>
    </row>
    <row r="79" spans="1:3" x14ac:dyDescent="0.3">
      <c r="A79" s="16" t="s">
        <v>122</v>
      </c>
      <c r="B79" s="17"/>
      <c r="C79" t="str">
        <f t="shared" si="1"/>
        <v>'FilePath'&amp;Lisa Arronge</v>
      </c>
    </row>
    <row r="80" spans="1:3" x14ac:dyDescent="0.3">
      <c r="A80" s="16" t="s">
        <v>150</v>
      </c>
      <c r="B80" s="17"/>
      <c r="C80" t="str">
        <f t="shared" si="1"/>
        <v>'FilePath'&amp;Lisa Terrazas</v>
      </c>
    </row>
    <row r="81" spans="1:3" x14ac:dyDescent="0.3">
      <c r="A81" s="16" t="s">
        <v>94</v>
      </c>
      <c r="B81" s="17"/>
      <c r="C81" t="str">
        <f t="shared" si="1"/>
        <v>'FilePath'&amp;Lisa Thaler</v>
      </c>
    </row>
    <row r="82" spans="1:3" x14ac:dyDescent="0.3">
      <c r="A82" s="16" t="s">
        <v>64</v>
      </c>
      <c r="B82" s="17"/>
      <c r="C82" t="str">
        <f t="shared" si="1"/>
        <v>'FilePath'&amp;Lynn Zipoy</v>
      </c>
    </row>
    <row r="83" spans="1:3" x14ac:dyDescent="0.3">
      <c r="A83" s="16" t="s">
        <v>144</v>
      </c>
      <c r="B83" s="17"/>
      <c r="C83" t="str">
        <f t="shared" si="1"/>
        <v>'FilePath'&amp;Madeleine Azar</v>
      </c>
    </row>
    <row r="84" spans="1:3" x14ac:dyDescent="0.3">
      <c r="A84" s="16" t="s">
        <v>148</v>
      </c>
      <c r="B84" s="17"/>
      <c r="C84" t="str">
        <f t="shared" si="1"/>
        <v>'FilePath'&amp;Mandi Roarke</v>
      </c>
    </row>
    <row r="85" spans="1:3" x14ac:dyDescent="0.3">
      <c r="A85" s="16" t="s">
        <v>56</v>
      </c>
      <c r="B85" s="17"/>
      <c r="C85" t="str">
        <f t="shared" si="1"/>
        <v>'FilePath'&amp;Marissa Sanchez</v>
      </c>
    </row>
    <row r="86" spans="1:3" x14ac:dyDescent="0.3">
      <c r="A86" s="16" t="s">
        <v>149</v>
      </c>
      <c r="B86" s="17"/>
      <c r="C86" t="str">
        <f t="shared" si="1"/>
        <v>'FilePath'&amp;Mark Odhner</v>
      </c>
    </row>
    <row r="87" spans="1:3" x14ac:dyDescent="0.3">
      <c r="A87" s="16" t="s">
        <v>69</v>
      </c>
      <c r="B87" s="17"/>
      <c r="C87" t="str">
        <f t="shared" si="1"/>
        <v>'FilePath'&amp;Martha Pulkingham</v>
      </c>
    </row>
    <row r="88" spans="1:3" x14ac:dyDescent="0.3">
      <c r="A88" s="16" t="s">
        <v>72</v>
      </c>
      <c r="B88" s="17"/>
      <c r="C88" t="str">
        <f t="shared" si="1"/>
        <v>'FilePath'&amp;Marvin Hughes</v>
      </c>
    </row>
    <row r="89" spans="1:3" x14ac:dyDescent="0.3">
      <c r="A89" s="16" t="s">
        <v>12</v>
      </c>
      <c r="B89" s="17"/>
      <c r="C89" t="str">
        <f t="shared" si="1"/>
        <v>'FilePath'&amp;Mary Combs</v>
      </c>
    </row>
    <row r="90" spans="1:3" x14ac:dyDescent="0.3">
      <c r="A90" s="16" t="s">
        <v>93</v>
      </c>
      <c r="B90" s="17"/>
      <c r="C90" t="str">
        <f t="shared" si="1"/>
        <v>'FilePath'&amp;Mary Firme</v>
      </c>
    </row>
    <row r="91" spans="1:3" x14ac:dyDescent="0.3">
      <c r="A91" s="16" t="s">
        <v>53</v>
      </c>
      <c r="B91" s="17"/>
      <c r="C91" t="str">
        <f t="shared" si="1"/>
        <v>'FilePath'&amp;Maxey J. Elliott</v>
      </c>
    </row>
    <row r="92" spans="1:3" x14ac:dyDescent="0.3">
      <c r="A92" s="16" t="s">
        <v>118</v>
      </c>
      <c r="B92" s="17"/>
      <c r="C92" t="str">
        <f t="shared" si="1"/>
        <v>'FilePath'&amp;Meghan Burgess</v>
      </c>
    </row>
    <row r="93" spans="1:3" x14ac:dyDescent="0.3">
      <c r="A93" s="16" t="s">
        <v>48</v>
      </c>
      <c r="B93" s="17"/>
      <c r="C93" t="str">
        <f t="shared" si="1"/>
        <v>'FilePath'&amp;Melissa Wilson</v>
      </c>
    </row>
    <row r="94" spans="1:3" x14ac:dyDescent="0.3">
      <c r="A94" s="16" t="s">
        <v>146</v>
      </c>
      <c r="B94" s="17"/>
      <c r="C94" t="str">
        <f t="shared" si="1"/>
        <v>'FilePath'&amp;Merri Isom</v>
      </c>
    </row>
    <row r="95" spans="1:3" x14ac:dyDescent="0.3">
      <c r="A95" s="16" t="s">
        <v>115</v>
      </c>
      <c r="B95" s="17"/>
      <c r="C95" t="str">
        <f t="shared" si="1"/>
        <v>'FilePath'&amp;Michael D. Romero, Tonality Counseling, PLLC</v>
      </c>
    </row>
    <row r="96" spans="1:3" x14ac:dyDescent="0.3">
      <c r="A96" s="16" t="s">
        <v>128</v>
      </c>
      <c r="B96" s="17"/>
      <c r="C96" t="str">
        <f t="shared" si="1"/>
        <v>'FilePath'&amp;Michelle Kelley Shuler</v>
      </c>
    </row>
    <row r="97" spans="1:3" x14ac:dyDescent="0.3">
      <c r="A97" s="16" t="s">
        <v>123</v>
      </c>
      <c r="B97" s="17"/>
      <c r="C97" t="str">
        <f t="shared" si="1"/>
        <v>'FilePath'&amp;Michelle Vavich</v>
      </c>
    </row>
    <row r="98" spans="1:3" x14ac:dyDescent="0.3">
      <c r="A98" s="16" t="s">
        <v>29</v>
      </c>
      <c r="B98" s="17"/>
      <c r="C98" t="str">
        <f t="shared" si="1"/>
        <v>'FilePath'&amp;Monica Garfias</v>
      </c>
    </row>
    <row r="99" spans="1:3" x14ac:dyDescent="0.3">
      <c r="A99" s="16" t="s">
        <v>34</v>
      </c>
      <c r="B99" s="17"/>
      <c r="C99" t="str">
        <f t="shared" si="1"/>
        <v>'FilePath'&amp;Nicole Brogdon</v>
      </c>
    </row>
    <row r="100" spans="1:3" x14ac:dyDescent="0.3">
      <c r="A100" s="16" t="s">
        <v>105</v>
      </c>
      <c r="B100" s="17"/>
      <c r="C100" t="str">
        <f t="shared" si="1"/>
        <v>'FilePath'&amp;Patty Evers</v>
      </c>
    </row>
    <row r="101" spans="1:3" x14ac:dyDescent="0.3">
      <c r="A101" s="16" t="s">
        <v>84</v>
      </c>
      <c r="B101" s="17"/>
      <c r="C101" t="str">
        <f t="shared" si="1"/>
        <v>'FilePath'&amp;Peter Stuart</v>
      </c>
    </row>
    <row r="102" spans="1:3" x14ac:dyDescent="0.3">
      <c r="A102" s="16" t="s">
        <v>52</v>
      </c>
      <c r="B102" s="17"/>
      <c r="C102" t="str">
        <f t="shared" si="1"/>
        <v>'FilePath'&amp;Peyton English</v>
      </c>
    </row>
    <row r="103" spans="1:3" x14ac:dyDescent="0.3">
      <c r="A103" s="16" t="s">
        <v>25</v>
      </c>
      <c r="B103" s="17"/>
      <c r="C103" t="str">
        <f t="shared" si="1"/>
        <v>'FilePath'&amp;Rebecca Kalomiris</v>
      </c>
    </row>
    <row r="104" spans="1:3" x14ac:dyDescent="0.3">
      <c r="A104" s="16" t="s">
        <v>42</v>
      </c>
      <c r="B104" s="17"/>
      <c r="C104" t="str">
        <f t="shared" si="1"/>
        <v>'FilePath'&amp;Rebecca Kanady Huston</v>
      </c>
    </row>
    <row r="105" spans="1:3" x14ac:dyDescent="0.3">
      <c r="A105" s="16" t="s">
        <v>21</v>
      </c>
      <c r="B105" s="17"/>
      <c r="C105" t="str">
        <f t="shared" si="1"/>
        <v>'FilePath'&amp;Rosa T. Yaotonalcuauhtli</v>
      </c>
    </row>
    <row r="106" spans="1:3" x14ac:dyDescent="0.3">
      <c r="A106" s="16" t="s">
        <v>154</v>
      </c>
      <c r="B106" s="17"/>
      <c r="C106" t="str">
        <f t="shared" si="1"/>
        <v>'FilePath'&amp;Ruben J. Garcia</v>
      </c>
    </row>
    <row r="107" spans="1:3" x14ac:dyDescent="0.3">
      <c r="A107" s="16" t="s">
        <v>151</v>
      </c>
      <c r="B107" s="17"/>
      <c r="C107" t="str">
        <f t="shared" si="1"/>
        <v>'FilePath'&amp;Sarah A White</v>
      </c>
    </row>
    <row r="108" spans="1:3" x14ac:dyDescent="0.3">
      <c r="A108" s="16" t="s">
        <v>77</v>
      </c>
      <c r="B108" s="17"/>
      <c r="C108" t="str">
        <f t="shared" si="1"/>
        <v>'FilePath'&amp;Sarah Francis</v>
      </c>
    </row>
    <row r="109" spans="1:3" x14ac:dyDescent="0.3">
      <c r="A109" s="16" t="s">
        <v>126</v>
      </c>
      <c r="B109" s="17"/>
      <c r="C109" t="str">
        <f t="shared" si="1"/>
        <v>'FilePath'&amp;Shawna Williams</v>
      </c>
    </row>
    <row r="110" spans="1:3" x14ac:dyDescent="0.3">
      <c r="A110" s="16" t="s">
        <v>137</v>
      </c>
      <c r="B110" s="17"/>
      <c r="C110" t="str">
        <f t="shared" si="1"/>
        <v>'FilePath'&amp;Shelly Hogan</v>
      </c>
    </row>
    <row r="111" spans="1:3" x14ac:dyDescent="0.3">
      <c r="A111" s="16" t="s">
        <v>79</v>
      </c>
      <c r="B111" s="17"/>
      <c r="C111" t="str">
        <f t="shared" si="1"/>
        <v>'FilePath'&amp;Susanna Wetherington</v>
      </c>
    </row>
    <row r="112" spans="1:3" x14ac:dyDescent="0.3">
      <c r="A112" s="16" t="s">
        <v>85</v>
      </c>
      <c r="B112" s="17"/>
      <c r="C112" t="str">
        <f t="shared" si="1"/>
        <v>'FilePath'&amp;Suzanne Camos</v>
      </c>
    </row>
    <row r="113" spans="1:3" x14ac:dyDescent="0.3">
      <c r="A113" s="16" t="s">
        <v>152</v>
      </c>
      <c r="B113" s="17"/>
      <c r="C113" t="str">
        <f t="shared" si="1"/>
        <v>'FilePath'&amp;Tiffany Allen</v>
      </c>
    </row>
    <row r="114" spans="1:3" x14ac:dyDescent="0.3">
      <c r="A114" s="16" t="s">
        <v>61</v>
      </c>
      <c r="B114" s="17"/>
      <c r="C114" t="str">
        <f t="shared" si="1"/>
        <v>'FilePath'&amp;Tom Umberger</v>
      </c>
    </row>
    <row r="115" spans="1:3" x14ac:dyDescent="0.3">
      <c r="A115" s="16" t="s">
        <v>74</v>
      </c>
      <c r="B115" s="17"/>
      <c r="C115" t="str">
        <f t="shared" si="1"/>
        <v>'FilePath'&amp;Tracey McCullick</v>
      </c>
    </row>
    <row r="116" spans="1:3" x14ac:dyDescent="0.3">
      <c r="A116" s="16" t="s">
        <v>114</v>
      </c>
      <c r="B116" s="17"/>
      <c r="C116" t="str">
        <f t="shared" si="1"/>
        <v>'FilePath'&amp;Tressie Seegers</v>
      </c>
    </row>
    <row r="117" spans="1:3" x14ac:dyDescent="0.3">
      <c r="A117" s="16" t="s">
        <v>132</v>
      </c>
      <c r="B117" s="17"/>
      <c r="C117" t="str">
        <f t="shared" si="1"/>
        <v>'FilePath'&amp;Vickie Schafer</v>
      </c>
    </row>
    <row r="118" spans="1:3" x14ac:dyDescent="0.3">
      <c r="A118" s="16" t="s">
        <v>57</v>
      </c>
      <c r="B118" s="17"/>
      <c r="C118" t="str">
        <f t="shared" si="1"/>
        <v>'FilePath'&amp;Yamel Sandoval Quijano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A93A57FFA84134AA87124BE38122784" ma:contentTypeVersion="14" ma:contentTypeDescription="Create a new document." ma:contentTypeScope="" ma:versionID="5854f0961091ac11836eb5e68c70c01e">
  <xsd:schema xmlns:xsd="http://www.w3.org/2001/XMLSchema" xmlns:xs="http://www.w3.org/2001/XMLSchema" xmlns:p="http://schemas.microsoft.com/office/2006/metadata/properties" xmlns:ns2="e5c66f27-d6f5-4726-aa7d-416e1da4dd14" xmlns:ns3="ac18062a-6c81-4f4b-ae58-db5eff129990" targetNamespace="http://schemas.microsoft.com/office/2006/metadata/properties" ma:root="true" ma:fieldsID="84c75e5b48346c7b609ad1c3c2c3106e" ns2:_="" ns3:_="">
    <xsd:import namespace="e5c66f27-d6f5-4726-aa7d-416e1da4dd14"/>
    <xsd:import namespace="ac18062a-6c81-4f4b-ae58-db5eff12999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c66f27-d6f5-4726-aa7d-416e1da4dd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2ce25d9c-6ae3-4bc3-9ec9-6646bd6d025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18062a-6c81-4f4b-ae58-db5eff129990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ccc5f4fa-d601-494b-a298-a2a204235294}" ma:internalName="TaxCatchAll" ma:showField="CatchAllData" ma:web="ac18062a-6c81-4f4b-ae58-db5eff1299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c18062a-6c81-4f4b-ae58-db5eff129990" xsi:nil="true"/>
    <lcf76f155ced4ddcb4097134ff3c332f xmlns="e5c66f27-d6f5-4726-aa7d-416e1da4dd1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7D4A38C-AD9A-40D4-965E-6317717EBE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AE8EBE7-329E-4CF1-AAA9-DA5A2CF875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c66f27-d6f5-4726-aa7d-416e1da4dd14"/>
    <ds:schemaRef ds:uri="ac18062a-6c81-4f4b-ae58-db5eff1299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64FF4B-EBF0-46FB-810D-003302F20BDA}">
  <ds:schemaRefs>
    <ds:schemaRef ds:uri="http://schemas.microsoft.com/office/2006/metadata/properties"/>
    <ds:schemaRef ds:uri="http://schemas.microsoft.com/office/infopath/2007/PartnerControls"/>
    <ds:schemaRef ds:uri="ac18062a-6c81-4f4b-ae58-db5eff129990"/>
    <ds:schemaRef ds:uri="e5c66f27-d6f5-4726-aa7d-416e1da4dd1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Counseling &amp;etc Claims - Rows</vt:lpstr>
      <vt:lpstr>Pivot</vt:lpstr>
      <vt:lpstr>Email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Drew Beard</cp:lastModifiedBy>
  <dcterms:created xsi:type="dcterms:W3CDTF">2023-12-15T17:10:56Z</dcterms:created>
  <dcterms:modified xsi:type="dcterms:W3CDTF">2024-01-16T16:48:30Z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0x010100CA93A57FFA84134AA87124BE38122784</vt:lpwstr>
  </property>
</Properties>
</file>